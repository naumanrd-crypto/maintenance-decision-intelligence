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1c09f733c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5bb8787ea07422c"/>
    <x:sheet xmlns:r="http://schemas.openxmlformats.org/officeDocument/2006/relationships" name="Assets" sheetId="2" r:id="Ra378ff1641934024"/>
    <x:sheet xmlns:r="http://schemas.openxmlformats.org/officeDocument/2006/relationships" name="Error_Matrix" sheetId="3" r:id="R9a61c5fc27de4279"/>
    <x:sheet xmlns:r="http://schemas.openxmlformats.org/officeDocument/2006/relationships" name="KPI_Seed" sheetId="4" r:id="R72d6728639234cf1"/>
    <x:sheet xmlns:r="http://schemas.openxmlformats.org/officeDocument/2006/relationships" name="Decision_Log" sheetId="5" r:id="R73728b4b062d42ce"/>
    <x:sheet xmlns:r="http://schemas.openxmlformats.org/officeDocument/2006/relationships" name="Historical_Events" sheetId="6" r:id="Re29b5cb91fcb4b77"/>
    <x:sheet xmlns:r="http://schemas.openxmlformats.org/officeDocument/2006/relationships" name="Dashboard_Data" sheetId="7" r:id="R59f33c52ed9f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&quot;%&quot;"/>
    <x:numFmt numFmtId="202" formatCode="dd-mmm-yyyy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8edc0e9ad47e9" /><Relationship Type="http://schemas.openxmlformats.org/officeDocument/2006/relationships/theme" Target="/xl/theme/theme1.xml" Id="R2e012c98bdb1418e" /><Relationship Type="http://schemas.microsoft.com/office/2022/11/relationships/FeaturePropertyBag" Target="/xl/featurePropertyBag/featurePropertyBag.xml" Id="R9a9e8adf1a3e469d" /><Relationship Type="http://schemas.openxmlformats.org/officeDocument/2006/relationships/sharedStrings" Target="/xl/sharedStrings.xml" Id="Ra677698d572d4637" /><Relationship Type="http://schemas.openxmlformats.org/officeDocument/2006/relationships/worksheet" Target="/xl/worksheets/sheet1.xml" Id="R05bb8787ea07422c" /><Relationship Type="http://schemas.openxmlformats.org/officeDocument/2006/relationships/worksheet" Target="/xl/worksheets/sheet2.xml" Id="Ra378ff1641934024" /><Relationship Type="http://schemas.openxmlformats.org/officeDocument/2006/relationships/worksheet" Target="/xl/worksheets/sheet3.xml" Id="R9a61c5fc27de4279" /><Relationship Type="http://schemas.openxmlformats.org/officeDocument/2006/relationships/worksheet" Target="/xl/worksheets/sheet4.xml" Id="R72d6728639234cf1" /><Relationship Type="http://schemas.openxmlformats.org/officeDocument/2006/relationships/worksheet" Target="/xl/worksheets/sheet5.xml" Id="R73728b4b062d42ce" /><Relationship Type="http://schemas.openxmlformats.org/officeDocument/2006/relationships/worksheet" Target="/xl/worksheets/sheet6.xml" Id="Re29b5cb91fcb4b77" /><Relationship Type="http://schemas.openxmlformats.org/officeDocument/2006/relationships/worksheet" Target="/xl/worksheets/sheet7.xml" Id="R59f33c52ed9f45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c01e66a7824bca" /><Relationship Type="http://schemas.openxmlformats.org/officeDocument/2006/relationships/chart" Target="/xl/drawings/charts/chart2.xml" Id="Rc43230ee53424be1" /><Relationship Type="http://schemas.openxmlformats.org/officeDocument/2006/relationships/chart" Target="/xl/drawings/charts/chart3.xml" Id="R88597fb8638f4e6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Planned Intervention Cost</c:v>
          </c:tx>
          <c:cat>
            <c:strRef>
              <c:f>'Dashboard_Data'!$A$4:$A$6</c:f>
              <c:strCache>
                <c:ptCount val="0"/>
              </c:strCache>
            </c:strRef>
          </c:cat>
          <c:val>
            <c:numRef>
              <c:f>'Dashboard_Data'!$B$4:$B$6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Avoided Breakdown Exposure</c:v>
          </c:tx>
          <c:cat>
            <c:strRef>
              <c:f>'Dashboard_Data'!$A$4:$A$6</c:f>
              <c:strCache>
                <c:ptCount val="0"/>
              </c:strCache>
            </c:strRef>
          </c:cat>
          <c:val>
            <c:numRef>
              <c:f>'Dashboard_Data'!$C$4:$C$6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Net Avoided Loss</c:v>
          </c:tx>
          <c:cat>
            <c:strRef>
              <c:f>'Dashboard_Data'!$A$4:$A$6</c:f>
              <c:strCache>
                <c:ptCount val="0"/>
              </c:strCache>
            </c:strRef>
          </c:cat>
          <c:val>
            <c:numRef>
              <c:f>'Dashboard_Data'!$D$4:$D$6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Hours Rescued</c:v>
          </c:tx>
          <c:marker>
            <c:symbol val="none"/>
          </c:marker>
          <c:cat>
            <c:strRef>
              <c:f>'Dashboard_Data'!$A$4:$A$6</c:f>
              <c:strCache>
                <c:ptCount val="0"/>
              </c:strCache>
            </c:strRef>
          </c:cat>
          <c:val>
            <c:numRef>
              <c:f>'Dashboard_Data'!$G$4:$G$6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c01e66a7824bca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230ee53424be1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597fb8638f4e6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ssetsTable" displayName="AssetsTable" ref="A1:J8" headerRowCount="1" totalsRowCount="0" totalsRowShown="0">
  <x:tableColumns count="10">
    <x:tableColumn id="1" name="Machine_ID"/>
    <x:tableColumn id="2" name="Stage"/>
    <x:tableColumn id="3" name="Process"/>
    <x:tableColumn id="4" name="Machine_Type"/>
    <x:tableColumn id="5" name="Capacity_pkts_hr"/>
    <x:tableColumn id="6" name="Line_Loss_Rate_PKR_hr"/>
    <x:tableColumn id="7" name="Operator_Assignment"/>
    <x:tableColumn id="8" name="Failure_Topology"/>
    <x:tableColumn id="9" name="Throughput_Loss_if_Trip_pct"/>
    <x:tableColumn id="10" name="Failure_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MatrixTable" displayName="ErrorMatrixTable" ref="A1:AB16" headerRowCount="1" totalsRowCount="0" totalsRowShown="0">
  <x:tableColumns count="28">
    <x:tableColumn id="1" name="Error_ID"/>
    <x:tableColumn id="2" name="Stage"/>
    <x:tableColumn id="3" name="Applicable_Machines"/>
    <x:tableColumn id="4" name="Machine_Type"/>
    <x:tableColumn id="5" name="Failure_Category"/>
    <x:tableColumn id="6" name="Failure_Mode"/>
    <x:tableColumn id="7" name="Symptom"/>
    <x:tableColumn id="8" name="Safety_Critical"/>
    <x:tableColumn id="9" name="Safety_Message"/>
    <x:tableColumn id="10" name="Line_Loss_Rate_PKR_hr"/>
    <x:tableColumn id="11" name="Planned_Downtime_min"/>
    <x:tableColumn id="12" name="Planned_Production_Loss_PKR"/>
    <x:tableColumn id="13" name="OptionA_Part_Description"/>
    <x:tableColumn id="14" name="OptionA_Part_Cost_PKR"/>
    <x:tableColumn id="15" name="OptionA_Labor_Cost_PKR"/>
    <x:tableColumn id="16" name="OptionA_Total_PKR"/>
    <x:tableColumn id="17" name="Unplanned_Downtime_min"/>
    <x:tableColumn id="18" name="Unplanned_Production_Loss_PKR"/>
    <x:tableColumn id="19" name="OptionB_Replacement_Description"/>
    <x:tableColumn id="20" name="OptionB_Replacement_Cost_PKR"/>
    <x:tableColumn id="21" name="OptionB_Freight_PKR"/>
    <x:tableColumn id="22" name="OptionB_Idle_Operator_Cost_PKR"/>
    <x:tableColumn id="23" name="OptionB_Emergency_Tech_Cost_PKR"/>
    <x:tableColumn id="24" name="OptionB_Scrap_Description"/>
    <x:tableColumn id="25" name="OptionB_Scrap_Cost_PKR"/>
    <x:tableColumn id="26" name="OptionB_Total_PKR"/>
    <x:tableColumn id="27" name="Net_Avoided_Loss_PKR"/>
    <x:tableColumn id="28" name="Decis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LogTable" displayName="DecisionLogTable" ref="A1:M51" headerRowCount="1" totalsRowCount="0" totalsRowShown="0">
  <x:tableColumns count="13">
    <x:tableColumn id="1" name="Timestamp"/>
    <x:tableColumn id="2" name="Machine_ID"/>
    <x:tableColumn id="3" name="Error_ID"/>
    <x:tableColumn id="4" name="Reported_By"/>
    <x:tableColumn id="5" name="Shift"/>
    <x:tableColumn id="6" name="Observed_Symptom"/>
    <x:tableColumn id="7" name="Recommended_Action"/>
    <x:tableColumn id="8" name="Actual_Decision"/>
    <x:tableColumn id="9" name="OptionA_Total_PKR"/>
    <x:tableColumn id="10" name="OptionB_Total_PKR"/>
    <x:tableColumn id="11" name="Net_Avoided_Loss_PKR"/>
    <x:tableColumn id="12" name="Safety_Override"/>
    <x:tableColumn id="13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storicalEventsTable" displayName="HistoricalEventsTable" ref="A1:T15" headerRowCount="1" totalsRowCount="0" totalsRowShown="0">
  <x:tableColumns count="20">
    <x:tableColumn id="1" name="Event_Date"/>
    <x:tableColumn id="2" name="Month_Key"/>
    <x:tableColumn id="3" name="Machine_ID"/>
    <x:tableColumn id="4" name="Error_ID"/>
    <x:tableColumn id="5" name="Stage"/>
    <x:tableColumn id="6" name="Failure_Category"/>
    <x:tableColumn id="7" name="Failure_Mode"/>
    <x:tableColumn id="8" name="Reported_By"/>
    <x:tableColumn id="9" name="Shift"/>
    <x:tableColumn id="10" name="Decision"/>
    <x:tableColumn id="11" name="Safety_Override"/>
    <x:tableColumn id="12" name="Planned_Stop_Min"/>
    <x:tableColumn id="13" name="Unplanned_Downtime_Min"/>
    <x:tableColumn id="14" name="OptionA_Total_PKR"/>
    <x:tableColumn id="15" name="OptionB_Total_PKR"/>
    <x:tableColumn id="16" name="Net_Avoided_Loss_PKR"/>
    <x:tableColumn id="17" name="Production_Hours_Rescued"/>
    <x:tableColumn id="18" name="Cumulative_Net_Avoided_Loss_PKR"/>
    <x:tableColumn id="19" name="Cumulative_Hours_Rescued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6d07754fd43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2d48941d73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0031bd647a2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010226e5ba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8bfc02dae734ae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2" hidden="0" customWidth="1"/>
    <x:col min="4" max="4" width="28" hidden="0" customWidth="1"/>
    <x:col min="5" max="5" width="18" hidden="0" customWidth="1"/>
  </x:cols>
  <x:sheetData>
    <x:row r="1" ht="30" customHeight="1">
      <x:c r="A1" s="5" t="str">
        <x:v>FACTORY DATA — Production Downtime &amp; Maintenance Decision Intelligence</x:v>
      </x:c>
      <x:c r="B1" s="5"/>
      <x:c r="C1" s="5"/>
      <x:c r="D1" s="5"/>
      <x:c r="E1" s="5"/>
      <x:c r="F1" s="5"/>
    </x:row>
    <x:row r="3">
      <x:c r="A3" s="12" t="str">
        <x:v>Workbook Purpose</x:v>
      </x:c>
      <x:c r="B3" s="16" t="str">
        <x:v>Master data source for the Streamlit/Python hackathon application.</x:v>
      </x:c>
      <x:c r="D3" s="22" t="str">
        <x:v>Dataset Summary</x:v>
      </x:c>
      <x:c r="E3" s="22" t="str">
        <x:v>Value</x:v>
      </x:c>
    </x:row>
    <x:row r="4">
      <x:c r="A4" s="12" t="str">
        <x:v>Plant Topology</x:v>
      </x:c>
      <x:c r="B4" s="16" t="str">
        <x:v>Balanced 1 → 2 → 4 production topology.</x:v>
      </x:c>
      <x:c r="D4" t="str">
        <x:v>Machines</x:v>
      </x:c>
      <x:c r="E4" t="n">
        <x:v>7</x:v>
      </x:c>
    </x:row>
    <x:row r="5">
      <x:c r="A5" s="12" t="str">
        <x:v>Normal Plant Output</x:v>
      </x:c>
      <x:c r="B5" s="16" t="str">
        <x:v>100 packets/hour</x:v>
      </x:c>
      <x:c r="D5" t="str">
        <x:v>Error Scenarios</x:v>
      </x:c>
      <x:c r="E5" t="n">
        <x:v>15</x:v>
      </x:c>
    </x:row>
    <x:row r="6">
      <x:c r="A6" s="12" t="str">
        <x:v>Core Decision</x:v>
      </x:c>
      <x:c r="B6" s="16" t="str">
        <x:v>Compare Option A: Intervene Now vs Option B: Run to Failure / Repair Later.</x:v>
      </x:c>
      <x:c r="D6" t="str">
        <x:v>Mechanical Errors</x:v>
      </x:c>
      <x:c r="E6" t="n">
        <x:v>7</x:v>
      </x:c>
    </x:row>
    <x:row r="7">
      <x:c r="A7" s="12" t="str">
        <x:v>Calculation Principle</x:v>
      </x:c>
      <x:c r="B7" s="16" t="str">
        <x:v>All cost calculations are deterministic and should be handled in Python / spreadsheet formulas, not generated by the LLM.</x:v>
      </x:c>
      <x:c r="D7" t="str">
        <x:v>Electrical Errors</x:v>
      </x:c>
      <x:c r="E7" t="n">
        <x:v>5</x:v>
      </x:c>
    </x:row>
    <x:row r="8">
      <x:c r="A8" s="12" t="str">
        <x:v>Safety Rule</x:v>
      </x:c>
      <x:c r="B8" s="16" t="str">
        <x:v>M1-E04, M2-E05 and M3-E05 prohibit Option B and require immediate shutdown/intervention.</x:v>
      </x:c>
      <x:c r="D8" t="str">
        <x:v>Safety Lockouts</x:v>
      </x:c>
      <x:c r="E8" t="n">
        <x:v>3</x:v>
      </x:c>
    </x:row>
    <x:row r="9">
      <x:c r="A9" s="12" t="str">
        <x:v>Primary Data Sheets</x:v>
      </x:c>
      <x:c r="B9" s="16" t="str">
        <x:v>Assets; Error_Matrix; Historical_Events</x:v>
      </x:c>
    </x:row>
    <x:row r="10">
      <x:c r="A10" s="12" t="str">
        <x:v>Application Support</x:v>
      </x:c>
      <x:c r="B10" s="16" t="str">
        <x:v>Dashboard_Data; KPI_Seed; Decision_Log</x:v>
      </x:c>
    </x:row>
    <x:row r="12">
      <x:c r="A12" s="22" t="str">
        <x:v>Decision Formulas</x:v>
      </x:c>
      <x:c r="B12" s="22"/>
      <x:c r="C12" s="22"/>
      <x:c r="D12" s="22"/>
      <x:c r="E12" s="22"/>
      <x:c r="F12" s="22"/>
    </x:row>
    <x:row r="13">
      <x:c r="A13" s="12" t="str">
        <x:v>Option A Total</x:v>
      </x:c>
      <x:c r="B13" s="16" t="str">
        <x:v>(Planned Downtime min / 60 × Line Loss Rate) + Planned Part Cost + Planned Labor Cost</x:v>
      </x:c>
    </x:row>
    <x:row r="14">
      <x:c r="A14" s="12" t="str">
        <x:v>Option B Total</x:v>
      </x:c>
      <x:c r="B14" s="16" t="str">
        <x:v>(Unplanned Downtime min / 60 × Line Loss Rate) + Replacement Cost + Freight + Idle Operator Cost + Emergency Technician Cost + Scrap Cost</x:v>
      </x:c>
    </x:row>
    <x:row r="15">
      <x:c r="A15" s="12" t="str">
        <x:v>Net Avoided Loss</x:v>
      </x:c>
      <x:c r="B15" s="16" t="str">
        <x:v>Option B Total − Option A Total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8" hidden="0" customWidth="1"/>
    <x:col min="4" max="4" width="30" hidden="0" customWidth="1"/>
    <x:col min="5" max="5" width="18" hidden="0" customWidth="1"/>
    <x:col min="6" max="6" width="22" hidden="0" customWidth="1"/>
    <x:col min="7" max="7" width="38" hidden="0" customWidth="1"/>
    <x:col min="8" max="8" width="22" hidden="0" customWidth="1"/>
    <x:col min="9" max="9" width="25" hidden="0" customWidth="1"/>
    <x:col min="10" max="10" width="65" hidden="0" customWidth="1"/>
  </x:cols>
  <x:sheetData>
    <x:row r="1">
      <x:c r="A1" s="22" t="str">
        <x:v>Machine_ID</x:v>
      </x:c>
      <x:c r="B1" s="22" t="str">
        <x:v>Stage</x:v>
      </x:c>
      <x:c r="C1" s="22" t="str">
        <x:v>Process</x:v>
      </x:c>
      <x:c r="D1" s="22" t="str">
        <x:v>Machine_Type</x:v>
      </x:c>
      <x:c r="E1" s="22" t="str">
        <x:v>Capacity_pkts_hr</x:v>
      </x:c>
      <x:c r="F1" s="22" t="str">
        <x:v>Line_Loss_Rate_PKR_hr</x:v>
      </x:c>
      <x:c r="G1" s="22" t="str">
        <x:v>Operator_Assignment</x:v>
      </x:c>
      <x:c r="H1" s="22" t="str">
        <x:v>Failure_Topology</x:v>
      </x:c>
      <x:c r="I1" s="22" t="str">
        <x:v>Throughput_Loss_if_Trip_pct</x:v>
      </x:c>
      <x:c r="J1" s="22" t="str">
        <x:v>Failure_Rule</x:v>
      </x:c>
    </x:row>
    <x:row r="2">
      <x:c r="A2" s="16" t="str">
        <x:v>M-101</x:v>
      </x:c>
      <x:c r="B2" s="16" t="n">
        <x:v>1</x:v>
      </x:c>
      <x:c r="C2" s="16" t="str">
        <x:v>Primary Forming</x:v>
      </x:c>
      <x:c r="D2" s="16" t="str">
        <x:v>Hydraulic Stamping Press</x:v>
      </x:c>
      <x:c r="E2" s="16" t="n">
        <x:v>100</x:v>
      </x:c>
      <x:c r="F2" s="28" t="n">
        <x:v>180000</x:v>
      </x:c>
      <x:c r="G2" s="16" t="str">
        <x:v>Tariq M. (Lead Operator); Kashif R. (Press Feeder)</x:v>
      </x:c>
      <x:c r="H2" s="16" t="str">
        <x:v>Single point of failure</x:v>
      </x:c>
      <x:c r="I2" s="30" t="n">
        <x:v>100</x:v>
      </x:c>
      <x:c r="J2" s="16" t="str">
        <x:v>If M-101 trips, 100% of plant output is lost immediately.</x:v>
      </x:c>
    </x:row>
    <x:row r="3">
      <x:c r="A3" s="16" t="str">
        <x:v>M-201</x:v>
      </x:c>
      <x:c r="B3" s="16" t="n">
        <x:v>2</x:v>
      </x:c>
      <x:c r="C3" s="16" t="str">
        <x:v>Milling</x:v>
      </x:c>
      <x:c r="D3" s="16" t="str">
        <x:v>High-Speed CNC Milling Center</x:v>
      </x:c>
      <x:c r="E3" s="16" t="n">
        <x:v>50</x:v>
      </x:c>
      <x:c r="F3" s="28" t="n">
        <x:v>120000</x:v>
      </x:c>
      <x:c r="G3" s="16" t="str">
        <x:v>Salman A. (Machinist)</x:v>
      </x:c>
      <x:c r="H3" s="16" t="str">
        <x:v>Parallel split</x:v>
      </x:c>
      <x:c r="I3" s="30" t="n">
        <x:v>50</x:v>
      </x:c>
      <x:c r="J3" s="16" t="str">
        <x:v>If M-201 trips, M-202 remains online; overall plant throughput drops by 50%, while M-301 and M-302 starve for work.</x:v>
      </x:c>
    </x:row>
    <x:row r="4">
      <x:c r="A4" s="16" t="str">
        <x:v>M-202</x:v>
      </x:c>
      <x:c r="B4" s="16" t="n">
        <x:v>2</x:v>
      </x:c>
      <x:c r="C4" s="16" t="str">
        <x:v>Milling</x:v>
      </x:c>
      <x:c r="D4" s="16" t="str">
        <x:v>High-Speed CNC Milling Center</x:v>
      </x:c>
      <x:c r="E4" s="16" t="n">
        <x:v>50</x:v>
      </x:c>
      <x:c r="F4" s="28" t="n">
        <x:v>120000</x:v>
      </x:c>
      <x:c r="G4" s="16" t="str">
        <x:v>Imran P. (Machinist)</x:v>
      </x:c>
      <x:c r="H4" s="16" t="str">
        <x:v>Parallel split</x:v>
      </x:c>
      <x:c r="I4" s="30" t="n">
        <x:v>50</x:v>
      </x:c>
      <x:c r="J4" s="16" t="str">
        <x:v>If M-202 trips, M-201 remains online; overall plant throughput drops by 50%, while M-303 and M-304 starve for work.</x:v>
      </x:c>
    </x:row>
    <x:row r="5">
      <x:c r="A5" s="16" t="str">
        <x:v>M-301</x:v>
      </x:c>
      <x:c r="B5" s="16" t="n">
        <x:v>3</x:v>
      </x:c>
      <x:c r="C5" s="16" t="str">
        <x:v>Packaging</x:v>
      </x:c>
      <x:c r="D5" s="16" t="str">
        <x:v>Automated Packaging Cell</x:v>
      </x:c>
      <x:c r="E5" s="16" t="n">
        <x:v>25</x:v>
      </x:c>
      <x:c r="F5" s="28" t="n">
        <x:v>45000</x:v>
      </x:c>
      <x:c r="G5" s="16" t="str">
        <x:v>Zahid H. (Operator, Line A)</x:v>
      </x:c>
      <x:c r="H5" s="16" t="str">
        <x:v>Quad split</x:v>
      </x:c>
      <x:c r="I5" s="30" t="n">
        <x:v>25</x:v>
      </x:c>
      <x:c r="J5" s="16" t="str">
        <x:v>If this packaging cell trips, plant throughput drops by 25%; the other three cells remain online.</x:v>
      </x:c>
    </x:row>
    <x:row r="6">
      <x:c r="A6" s="16" t="str">
        <x:v>M-302</x:v>
      </x:c>
      <x:c r="B6" s="16" t="n">
        <x:v>3</x:v>
      </x:c>
      <x:c r="C6" s="16" t="str">
        <x:v>Packaging</x:v>
      </x:c>
      <x:c r="D6" s="16" t="str">
        <x:v>Automated Packaging Cell</x:v>
      </x:c>
      <x:c r="E6" s="16" t="n">
        <x:v>25</x:v>
      </x:c>
      <x:c r="F6" s="28" t="n">
        <x:v>45000</x:v>
      </x:c>
      <x:c r="G6" s="16" t="str">
        <x:v>Zahid H. (Operator, Line A)</x:v>
      </x:c>
      <x:c r="H6" s="16" t="str">
        <x:v>Quad split</x:v>
      </x:c>
      <x:c r="I6" s="30" t="n">
        <x:v>25</x:v>
      </x:c>
      <x:c r="J6" s="16" t="str">
        <x:v>If this packaging cell trips, plant throughput drops by 25%; the other three cells remain online.</x:v>
      </x:c>
    </x:row>
    <x:row r="7">
      <x:c r="A7" s="16" t="str">
        <x:v>M-303</x:v>
      </x:c>
      <x:c r="B7" s="16" t="n">
        <x:v>3</x:v>
      </x:c>
      <x:c r="C7" s="16" t="str">
        <x:v>Packaging</x:v>
      </x:c>
      <x:c r="D7" s="16" t="str">
        <x:v>Automated Packaging Cell</x:v>
      </x:c>
      <x:c r="E7" s="16" t="n">
        <x:v>25</x:v>
      </x:c>
      <x:c r="F7" s="28" t="n">
        <x:v>45000</x:v>
      </x:c>
      <x:c r="G7" s="16" t="str">
        <x:v>Bilal N. (Operator, Line B)</x:v>
      </x:c>
      <x:c r="H7" s="16" t="str">
        <x:v>Quad split</x:v>
      </x:c>
      <x:c r="I7" s="30" t="n">
        <x:v>25</x:v>
      </x:c>
      <x:c r="J7" s="16" t="str">
        <x:v>If this packaging cell trips, plant throughput drops by 25%; the other three cells remain online.</x:v>
      </x:c>
    </x:row>
    <x:row r="8">
      <x:c r="A8" s="16" t="str">
        <x:v>M-304</x:v>
      </x:c>
      <x:c r="B8" s="16" t="n">
        <x:v>3</x:v>
      </x:c>
      <x:c r="C8" s="16" t="str">
        <x:v>Packaging</x:v>
      </x:c>
      <x:c r="D8" s="16" t="str">
        <x:v>Automated Packaging Cell</x:v>
      </x:c>
      <x:c r="E8" s="16" t="n">
        <x:v>25</x:v>
      </x:c>
      <x:c r="F8" s="28" t="n">
        <x:v>45000</x:v>
      </x:c>
      <x:c r="G8" s="16" t="str">
        <x:v>Bilal N. (Operator, Line B)</x:v>
      </x:c>
      <x:c r="H8" s="16" t="str">
        <x:v>Quad split</x:v>
      </x:c>
      <x:c r="I8" s="30" t="n">
        <x:v>25</x:v>
      </x:c>
      <x:c r="J8" s="16" t="str">
        <x:v>If this packaging cell trips, plant throughput drops by 25%; the other three cells remain online.</x:v>
      </x:c>
    </x:row>
  </x:sheetData>
  <x:pageMargins left="0.7" right="0.7" top="0.75" bottom="0.75" header="0.3" footer="0.3"/>
  <x:tableParts count="1">
    <x:tablePart xmlns:r="http://schemas.openxmlformats.org/officeDocument/2006/relationships" r:id="R0856d07754fd43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29" hidden="0" customWidth="1"/>
    <x:col min="4" max="4" width="30" hidden="0" customWidth="1"/>
    <x:col min="5" max="5" width="17" hidden="0" customWidth="1"/>
    <x:col min="6" max="6" width="30" hidden="0" customWidth="1"/>
    <x:col min="7" max="7" width="45" hidden="0" customWidth="1"/>
    <x:col min="8" max="8" width="15" hidden="0" customWidth="1"/>
    <x:col min="9" max="9" width="60" hidden="0" customWidth="1"/>
    <x:col min="10" max="10" width="22" hidden="0" customWidth="1"/>
    <x:col min="11" max="11" width="20" hidden="0" customWidth="1"/>
    <x:col min="12" max="12" width="24" hidden="0" customWidth="1"/>
    <x:col min="13" max="13" width="27" hidden="0" customWidth="1"/>
    <x:col min="14" max="14" width="22" hidden="0" customWidth="1"/>
    <x:col min="15" max="15" width="22" hidden="0" customWidth="1"/>
    <x:col min="16" max="16" width="20" hidden="0" customWidth="1"/>
    <x:col min="17" max="17" width="22" hidden="0" customWidth="1"/>
    <x:col min="18" max="18" width="26" hidden="0" customWidth="1"/>
    <x:col min="19" max="19" width="32" hidden="0" customWidth="1"/>
    <x:col min="20" max="20" width="27" hidden="0" customWidth="1"/>
    <x:col min="21" max="21" width="20" hidden="0" customWidth="1"/>
    <x:col min="22" max="22" width="26" hidden="0" customWidth="1"/>
    <x:col min="23" max="23" width="28" hidden="0" customWidth="1"/>
    <x:col min="24" max="24" width="25" hidden="0" customWidth="1"/>
    <x:col min="25" max="25" width="21" hidden="0" customWidth="1"/>
    <x:col min="26" max="26" width="19" hidden="0" customWidth="1"/>
    <x:col min="27" max="27" width="23" hidden="0" customWidth="1"/>
    <x:col min="28" max="28" width="30" hidden="0" customWidth="1"/>
  </x:cols>
  <x:sheetData>
    <x:row r="1" ht="42" customHeight="1">
      <x:c r="A1" s="22" t="str">
        <x:v>Error_ID</x:v>
      </x:c>
      <x:c r="B1" s="22" t="str">
        <x:v>Stage</x:v>
      </x:c>
      <x:c r="C1" s="22" t="str">
        <x:v>Applicable_Machines</x:v>
      </x:c>
      <x:c r="D1" s="22" t="str">
        <x:v>Machine_Type</x:v>
      </x:c>
      <x:c r="E1" s="22" t="str">
        <x:v>Failure_Category</x:v>
      </x:c>
      <x:c r="F1" s="22" t="str">
        <x:v>Failure_Mode</x:v>
      </x:c>
      <x:c r="G1" s="22" t="str">
        <x:v>Symptom</x:v>
      </x:c>
      <x:c r="H1" s="22" t="str">
        <x:v>Safety_Critical</x:v>
      </x:c>
      <x:c r="I1" s="22" t="str">
        <x:v>Safety_Message</x:v>
      </x:c>
      <x:c r="J1" s="22" t="str">
        <x:v>Line_Loss_Rate_PKR_hr</x:v>
      </x:c>
      <x:c r="K1" s="22" t="str">
        <x:v>Planned_Downtime_min</x:v>
      </x:c>
      <x:c r="L1" s="22" t="str">
        <x:v>Planned_Production_Loss_PKR</x:v>
      </x:c>
      <x:c r="M1" s="22" t="str">
        <x:v>OptionA_Part_Description</x:v>
      </x:c>
      <x:c r="N1" s="22" t="str">
        <x:v>OptionA_Part_Cost_PKR</x:v>
      </x:c>
      <x:c r="O1" s="22" t="str">
        <x:v>OptionA_Labor_Cost_PKR</x:v>
      </x:c>
      <x:c r="P1" s="22" t="str">
        <x:v>OptionA_Total_PKR</x:v>
      </x:c>
      <x:c r="Q1" s="22" t="str">
        <x:v>Unplanned_Downtime_min</x:v>
      </x:c>
      <x:c r="R1" s="22" t="str">
        <x:v>Unplanned_Production_Loss_PKR</x:v>
      </x:c>
      <x:c r="S1" s="22" t="str">
        <x:v>OptionB_Replacement_Description</x:v>
      </x:c>
      <x:c r="T1" s="22" t="str">
        <x:v>OptionB_Replacement_Cost_PKR</x:v>
      </x:c>
      <x:c r="U1" s="22" t="str">
        <x:v>OptionB_Freight_PKR</x:v>
      </x:c>
      <x:c r="V1" s="22" t="str">
        <x:v>OptionB_Idle_Operator_Cost_PKR</x:v>
      </x:c>
      <x:c r="W1" s="22" t="str">
        <x:v>OptionB_Emergency_Tech_Cost_PKR</x:v>
      </x:c>
      <x:c r="X1" s="22" t="str">
        <x:v>OptionB_Scrap_Description</x:v>
      </x:c>
      <x:c r="Y1" s="22" t="str">
        <x:v>OptionB_Scrap_Cost_PKR</x:v>
      </x:c>
      <x:c r="Z1" s="22" t="str">
        <x:v>OptionB_Total_PKR</x:v>
      </x:c>
      <x:c r="AA1" s="22" t="str">
        <x:v>Net_Avoided_Loss_PKR</x:v>
      </x:c>
      <x:c r="AB1" s="22" t="str">
        <x:v>Decision_Status</x:v>
      </x:c>
    </x:row>
    <x:row r="2">
      <x:c r="A2" s="16" t="str">
        <x:v>M1-E01</x:v>
      </x:c>
      <x:c r="B2" s="16" t="n">
        <x:v>1</x:v>
      </x:c>
      <x:c r="C2" s="16" t="str">
        <x:v>M-101</x:v>
      </x:c>
      <x:c r="D2" s="16" t="str">
        <x:v>Hydraulic Stamping Press</x:v>
      </x:c>
      <x:c r="E2" s="16" t="str">
        <x:v>Mechanical</x:v>
      </x:c>
      <x:c r="F2" s="16" t="str">
        <x:v>Hydraulic Seal Weeping</x:v>
      </x:c>
      <x:c r="G2" s="16" t="str">
        <x:v>Oil weeping along main cylinder rod.</x:v>
      </x:c>
      <x:c r="H2" s="34" t="b">
        <x:v>0</x:v>
      </x:c>
      <x:c r="I2" s="16" t="str"/>
      <x:c r="J2" s="28" t="n">
        <x:v>180000</x:v>
      </x:c>
      <x:c r="K2" s="16" t="n">
        <x:v>15</x:v>
      </x:c>
      <x:c r="L2" s="28" t="n">
        <x:f>K2/60*J2</x:f>
        <x:v>45000</x:v>
      </x:c>
      <x:c r="M2" s="16" t="str">
        <x:v>O-Ring Kit</x:v>
      </x:c>
      <x:c r="N2" s="28" t="n">
        <x:v>8500</x:v>
      </x:c>
      <x:c r="O2" s="28" t="n">
        <x:v>3000</x:v>
      </x:c>
      <x:c r="P2" s="28" t="n">
        <x:f>L2+N2+O2</x:f>
        <x:v>56500</x:v>
      </x:c>
      <x:c r="Q2" s="16" t="n">
        <x:v>180</x:v>
      </x:c>
      <x:c r="R2" s="28" t="n">
        <x:f>IF(H2=TRUE,"",Q2/60*J2)</x:f>
        <x:v>540000</x:v>
      </x:c>
      <x:c r="S2" s="16" t="str">
        <x:v>Ram Replacement</x:v>
      </x:c>
      <x:c r="T2" s="28" t="n">
        <x:v>145000</x:v>
      </x:c>
      <x:c r="U2" s="28" t="n">
        <x:v>45000</x:v>
      </x:c>
      <x:c r="V2" s="28" t="n">
        <x:v>18000</x:v>
      </x:c>
      <x:c r="W2" s="28" t="n">
        <x:v>25000</x:v>
      </x:c>
      <x:c r="X2" s="16" t="str">
        <x:v>Scrap Waste</x:v>
      </x:c>
      <x:c r="Y2" s="28" t="n">
        <x:v>35000</x:v>
      </x:c>
      <x:c r="Z2" s="28" t="n">
        <x:f>IF(H2=TRUE,"",R2+T2+U2+V2+W2+Y2)</x:f>
        <x:v>808000</x:v>
      </x:c>
      <x:c r="AA2" s="28" t="n">
        <x:f>IF(H2=TRUE,"",Z2-P2)</x:f>
        <x:v>751500</x:v>
      </x:c>
      <x:c r="AB2" s="16" t="str">
        <x:f>IF(H2=TRUE,"MANDATORY SAFETY OVERRIDE",IF(AA2&gt;0,"INTERVENE NOW","REVIEW"))</x:f>
        <x:v>INTERVENE NOW</x:v>
      </x:c>
    </x:row>
    <x:row r="3">
      <x:c r="A3" s="16" t="str">
        <x:v>M1-E02</x:v>
      </x:c>
      <x:c r="B3" s="16" t="n">
        <x:v>1</x:v>
      </x:c>
      <x:c r="C3" s="16" t="str">
        <x:v>M-101</x:v>
      </x:c>
      <x:c r="D3" s="16" t="str">
        <x:v>Hydraulic Stamping Press</x:v>
      </x:c>
      <x:c r="E3" s="16" t="str">
        <x:v>Electrical</x:v>
      </x:c>
      <x:c r="F3" s="16" t="str">
        <x:v>Motor Terminal Overheating</x:v>
      </x:c>
      <x:c r="G3" s="16" t="str">
        <x:v>High-resistance lug hot spot (88°C).</x:v>
      </x:c>
      <x:c r="H3" s="34" t="b">
        <x:v>0</x:v>
      </x:c>
      <x:c r="I3" s="16" t="str"/>
      <x:c r="J3" s="28" t="n">
        <x:v>180000</x:v>
      </x:c>
      <x:c r="K3" s="16" t="n">
        <x:v>10</x:v>
      </x:c>
      <x:c r="L3" s="28" t="n">
        <x:f>K3/60*J3</x:f>
        <x:v>30000</x:v>
      </x:c>
      <x:c r="M3" s="16" t="str">
        <x:v>Cable Lugs</x:v>
      </x:c>
      <x:c r="N3" s="28" t="n">
        <x:v>4000</x:v>
      </x:c>
      <x:c r="O3" s="28" t="n">
        <x:v>2500</x:v>
      </x:c>
      <x:c r="P3" s="28" t="n">
        <x:f>L3+N3+O3</x:f>
        <x:v>36500</x:v>
      </x:c>
      <x:c r="Q3" s="16" t="n">
        <x:v>120</x:v>
      </x:c>
      <x:c r="R3" s="28" t="n">
        <x:f>IF(H3=TRUE,"",Q3/60*J3)</x:f>
        <x:v>360000</x:v>
      </x:c>
      <x:c r="S3" s="16" t="str">
        <x:v>75 kW Motor Rewind</x:v>
      </x:c>
      <x:c r="T3" s="28" t="n">
        <x:v>180000</x:v>
      </x:c>
      <x:c r="U3" s="28" t="n">
        <x:v>25000</x:v>
      </x:c>
      <x:c r="V3" s="28" t="n">
        <x:v>12000</x:v>
      </x:c>
      <x:c r="W3" s="28" t="n">
        <x:v>30000</x:v>
      </x:c>
      <x:c r="X3" s="16" t="str">
        <x:v>Scrap Waste</x:v>
      </x:c>
      <x:c r="Y3" s="28" t="n">
        <x:v>15000</x:v>
      </x:c>
      <x:c r="Z3" s="28" t="n">
        <x:f>IF(H3=TRUE,"",R3+T3+U3+V3+W3+Y3)</x:f>
        <x:v>622000</x:v>
      </x:c>
      <x:c r="AA3" s="28" t="n">
        <x:f>IF(H3=TRUE,"",Z3-P3)</x:f>
        <x:v>585500</x:v>
      </x:c>
      <x:c r="AB3" s="16" t="str">
        <x:f>IF(H3=TRUE,"MANDATORY SAFETY OVERRIDE",IF(AA3&gt;0,"INTERVENE NOW","REVIEW"))</x:f>
        <x:v>INTERVENE NOW</x:v>
      </x:c>
    </x:row>
    <x:row r="4">
      <x:c r="A4" s="16" t="str">
        <x:v>M1-E03</x:v>
      </x:c>
      <x:c r="B4" s="16" t="n">
        <x:v>1</x:v>
      </x:c>
      <x:c r="C4" s="16" t="str">
        <x:v>M-101</x:v>
      </x:c>
      <x:c r="D4" s="16" t="str">
        <x:v>Hydraulic Stamping Press</x:v>
      </x:c>
      <x:c r="E4" s="16" t="str">
        <x:v>Mechanical</x:v>
      </x:c>
      <x:c r="F4" s="16" t="str">
        <x:v>Flywheel Bushing Wear</x:v>
      </x:c>
      <x:c r="G4" s="16" t="str">
        <x:v>Vibration harmonic during stroke.</x:v>
      </x:c>
      <x:c r="H4" s="34" t="b">
        <x:v>0</x:v>
      </x:c>
      <x:c r="I4" s="16" t="str"/>
      <x:c r="J4" s="28" t="n">
        <x:v>180000</x:v>
      </x:c>
      <x:c r="K4" s="16" t="n">
        <x:v>20</x:v>
      </x:c>
      <x:c r="L4" s="28" t="n">
        <x:f>K4/60*J4</x:f>
        <x:v>60000</x:v>
      </x:c>
      <x:c r="M4" s="16" t="str">
        <x:v>Bronze Bush</x:v>
      </x:c>
      <x:c r="N4" s="28" t="n">
        <x:v>12000</x:v>
      </x:c>
      <x:c r="O4" s="28" t="n">
        <x:v>4000</x:v>
      </x:c>
      <x:c r="P4" s="28" t="n">
        <x:f>L4+N4+O4</x:f>
        <x:v>76000</x:v>
      </x:c>
      <x:c r="Q4" s="16" t="n">
        <x:v>240</x:v>
      </x:c>
      <x:c r="R4" s="28" t="n">
        <x:f>IF(H4=TRUE,"",Q4/60*J4)</x:f>
        <x:v>720000</x:v>
      </x:c>
      <x:c r="S4" s="16" t="str">
        <x:v>Drive Shaft Core</x:v>
      </x:c>
      <x:c r="T4" s="28" t="n">
        <x:v>320000</x:v>
      </x:c>
      <x:c r="U4" s="28" t="n">
        <x:v>75000</x:v>
      </x:c>
      <x:c r="V4" s="28" t="n">
        <x:v>24000</x:v>
      </x:c>
      <x:c r="W4" s="28" t="n">
        <x:v>40000</x:v>
      </x:c>
      <x:c r="X4" s="16" t="str">
        <x:v>Scrap Waste</x:v>
      </x:c>
      <x:c r="Y4" s="28" t="n">
        <x:v>50000</x:v>
      </x:c>
      <x:c r="Z4" s="28" t="n">
        <x:f>IF(H4=TRUE,"",R4+T4+U4+V4+W4+Y4)</x:f>
        <x:v>1229000</x:v>
      </x:c>
      <x:c r="AA4" s="28" t="n">
        <x:f>IF(H4=TRUE,"",Z4-P4)</x:f>
        <x:v>1153000</x:v>
      </x:c>
      <x:c r="AB4" s="16" t="str">
        <x:f>IF(H4=TRUE,"MANDATORY SAFETY OVERRIDE",IF(AA4&gt;0,"INTERVENE NOW","REVIEW"))</x:f>
        <x:v>INTERVENE NOW</x:v>
      </x:c>
    </x:row>
    <x:row r="5">
      <x:c r="A5" s="16" t="str">
        <x:v>M1-E04</x:v>
      </x:c>
      <x:c r="B5" s="16" t="n">
        <x:v>1</x:v>
      </x:c>
      <x:c r="C5" s="16" t="str">
        <x:v>M-101</x:v>
      </x:c>
      <x:c r="D5" s="16" t="str">
        <x:v>Hydraulic Stamping Press</x:v>
      </x:c>
      <x:c r="E5" s="16" t="str">
        <x:v>Safety</x:v>
      </x:c>
      <x:c r="F5" s="16" t="str">
        <x:v>Light Curtain Alignment</x:v>
      </x:c>
      <x:c r="G5" s="16" t="str">
        <x:v>Optical sensor misalignment trip.</x:v>
      </x:c>
      <x:c r="H5" s="34" t="b">
        <x:v>1</x:v>
      </x:c>
      <x:c r="I5" s="16" t="str">
        <x:v>MANDATORY SAFETY OVERRIDE: Option B locked out. Operating with an unaligned safety curtain violates statutory safety codes. Immediate shutdown enforced.</x:v>
      </x:c>
      <x:c r="J5" s="28" t="n">
        <x:v>180000</x:v>
      </x:c>
      <x:c r="K5" s="16" t="n">
        <x:v>10</x:v>
      </x:c>
      <x:c r="L5" s="28" t="n">
        <x:f>K5/60*J5</x:f>
        <x:v>30000</x:v>
      </x:c>
      <x:c r="M5" s="16" t="str">
        <x:v>Bracket Kit</x:v>
      </x:c>
      <x:c r="N5" s="28" t="n">
        <x:v>5000</x:v>
      </x:c>
      <x:c r="O5" s="28" t="n">
        <x:v>2000</x:v>
      </x:c>
      <x:c r="P5" s="28" t="n">
        <x:f>L5+N5+O5</x:f>
        <x:v>37000</x:v>
      </x:c>
      <x:c r="Q5" s="16"/>
      <x:c r="R5" s="28" t="str">
        <x:f>IF(H5=TRUE,"",Q5/60*J5)</x:f>
      </x:c>
      <x:c r="S5" s="16" t="str">
        <x:v>LOCKED OUT</x:v>
      </x:c>
      <x:c r="T5" s="28"/>
      <x:c r="U5" s="28"/>
      <x:c r="V5" s="28"/>
      <x:c r="W5" s="28"/>
      <x:c r="X5" s="16" t="str">
        <x:v>Not Applicable</x:v>
      </x:c>
      <x:c r="Y5" s="28"/>
      <x:c r="Z5" s="28" t="str">
        <x:f>IF(H5=TRUE,"",R5+T5+U5+V5+W5+Y5)</x:f>
      </x:c>
      <x:c r="AA5" s="28" t="str">
        <x:f>IF(H5=TRUE,"",Z5-P5)</x:f>
      </x:c>
      <x:c r="AB5" s="16" t="str">
        <x:f>IF(H5=TRUE,"MANDATORY SAFETY OVERRIDE",IF(AA5&gt;0,"INTERVENE NOW","REVIEW"))</x:f>
        <x:v>MANDATORY SAFETY OVERRIDE</x:v>
      </x:c>
    </x:row>
    <x:row r="6">
      <x:c r="A6" s="16" t="str">
        <x:v>M1-E05</x:v>
      </x:c>
      <x:c r="B6" s="16" t="n">
        <x:v>1</x:v>
      </x:c>
      <x:c r="C6" s="16" t="str">
        <x:v>M-101</x:v>
      </x:c>
      <x:c r="D6" s="16" t="str">
        <x:v>Hydraulic Stamping Press</x:v>
      </x:c>
      <x:c r="E6" s="16" t="str">
        <x:v>Mechanical</x:v>
      </x:c>
      <x:c r="F6" s="16" t="str">
        <x:v>Punch Die Micro-Cracking</x:v>
      </x:c>
      <x:c r="G6" s="16" t="str">
        <x:v>Workpiece burr height exceeds 0.2 mm.</x:v>
      </x:c>
      <x:c r="H6" s="34" t="b">
        <x:v>0</x:v>
      </x:c>
      <x:c r="I6" s="16" t="str"/>
      <x:c r="J6" s="28" t="n">
        <x:v>180000</x:v>
      </x:c>
      <x:c r="K6" s="16" t="n">
        <x:v>25</x:v>
      </x:c>
      <x:c r="L6" s="28" t="n">
        <x:f>K6/60*J6</x:f>
        <x:v>75000</x:v>
      </x:c>
      <x:c r="M6" s="16" t="str">
        <x:v>Insert Set</x:v>
      </x:c>
      <x:c r="N6" s="28" t="n">
        <x:v>18000</x:v>
      </x:c>
      <x:c r="O6" s="28" t="n">
        <x:v>5000</x:v>
      </x:c>
      <x:c r="P6" s="28" t="n">
        <x:f>L6+N6+O6</x:f>
        <x:v>98000</x:v>
      </x:c>
      <x:c r="Q6" s="16" t="n">
        <x:v>210</x:v>
      </x:c>
      <x:c r="R6" s="28" t="n">
        <x:f>IF(H6=TRUE,"",Q6/60*J6)</x:f>
        <x:v>630000</x:v>
      </x:c>
      <x:c r="S6" s="16" t="str">
        <x:v>Complete Die Tool</x:v>
      </x:c>
      <x:c r="T6" s="28" t="n">
        <x:v>480000</x:v>
      </x:c>
      <x:c r="U6" s="28" t="n">
        <x:v>60000</x:v>
      </x:c>
      <x:c r="V6" s="28" t="n">
        <x:v>21000</x:v>
      </x:c>
      <x:c r="W6" s="28" t="n">
        <x:v>45000</x:v>
      </x:c>
      <x:c r="X6" s="16" t="str">
        <x:v>Tooling Scrap</x:v>
      </x:c>
      <x:c r="Y6" s="28" t="n">
        <x:v>120000</x:v>
      </x:c>
      <x:c r="Z6" s="28" t="n">
        <x:f>IF(H6=TRUE,"",R6+T6+U6+V6+W6+Y6)</x:f>
        <x:v>1356000</x:v>
      </x:c>
      <x:c r="AA6" s="28" t="n">
        <x:f>IF(H6=TRUE,"",Z6-P6)</x:f>
        <x:v>1258000</x:v>
      </x:c>
      <x:c r="AB6" s="16" t="str">
        <x:f>IF(H6=TRUE,"MANDATORY SAFETY OVERRIDE",IF(AA6&gt;0,"INTERVENE NOW","REVIEW"))</x:f>
        <x:v>INTERVENE NOW</x:v>
      </x:c>
    </x:row>
    <x:row r="7">
      <x:c r="A7" s="16" t="str">
        <x:v>M2-E01</x:v>
      </x:c>
      <x:c r="B7" s="16" t="n">
        <x:v>2</x:v>
      </x:c>
      <x:c r="C7" s="16" t="str">
        <x:v>M-201; M-202</x:v>
      </x:c>
      <x:c r="D7" s="16" t="str">
        <x:v>High-Speed CNC Milling Center</x:v>
      </x:c>
      <x:c r="E7" s="16" t="str">
        <x:v>Mechanical</x:v>
      </x:c>
      <x:c r="F7" s="16" t="str">
        <x:v>Ceramic Bearing Wear</x:v>
      </x:c>
      <x:c r="G7" s="16" t="str">
        <x:v>Spindle runout 12 µm with acoustic whine.</x:v>
      </x:c>
      <x:c r="H7" s="34" t="b">
        <x:v>0</x:v>
      </x:c>
      <x:c r="I7" s="16" t="str"/>
      <x:c r="J7" s="28" t="n">
        <x:v>120000</x:v>
      </x:c>
      <x:c r="K7" s="16" t="n">
        <x:v>20</x:v>
      </x:c>
      <x:c r="L7" s="28" t="n">
        <x:f>K7/60*J7</x:f>
        <x:v>40000</x:v>
      </x:c>
      <x:c r="M7" s="16" t="str">
        <x:v>Bearing Kit</x:v>
      </x:c>
      <x:c r="N7" s="28" t="n">
        <x:v>35000</x:v>
      </x:c>
      <x:c r="O7" s="28" t="n">
        <x:v>4000</x:v>
      </x:c>
      <x:c r="P7" s="28" t="n">
        <x:f>L7+N7+O7</x:f>
        <x:v>79000</x:v>
      </x:c>
      <x:c r="Q7" s="16" t="n">
        <x:v>300</x:v>
      </x:c>
      <x:c r="R7" s="28" t="n">
        <x:f>IF(H7=TRUE,"",Q7/60*J7)</x:f>
        <x:v>600000</x:v>
      </x:c>
      <x:c r="S7" s="16" t="str">
        <x:v>Spindle Core</x:v>
      </x:c>
      <x:c r="T7" s="28" t="n">
        <x:v>650000</x:v>
      </x:c>
      <x:c r="U7" s="28" t="n">
        <x:v>110000</x:v>
      </x:c>
      <x:c r="V7" s="28" t="n">
        <x:v>24000</x:v>
      </x:c>
      <x:c r="W7" s="28" t="n">
        <x:v>50000</x:v>
      </x:c>
      <x:c r="X7" s="16" t="str">
        <x:v>Scrap Part</x:v>
      </x:c>
      <x:c r="Y7" s="28" t="n">
        <x:v>85000</x:v>
      </x:c>
      <x:c r="Z7" s="28" t="n">
        <x:f>IF(H7=TRUE,"",R7+T7+U7+V7+W7+Y7)</x:f>
        <x:v>1519000</x:v>
      </x:c>
      <x:c r="AA7" s="28" t="n">
        <x:f>IF(H7=TRUE,"",Z7-P7)</x:f>
        <x:v>1440000</x:v>
      </x:c>
      <x:c r="AB7" s="16" t="str">
        <x:f>IF(H7=TRUE,"MANDATORY SAFETY OVERRIDE",IF(AA7&gt;0,"INTERVENE NOW","REVIEW"))</x:f>
        <x:v>INTERVENE NOW</x:v>
      </x:c>
    </x:row>
    <x:row r="8">
      <x:c r="A8" s="16" t="str">
        <x:v>M2-E02</x:v>
      </x:c>
      <x:c r="B8" s="16" t="n">
        <x:v>2</x:v>
      </x:c>
      <x:c r="C8" s="16" t="str">
        <x:v>M-201; M-202</x:v>
      </x:c>
      <x:c r="D8" s="16" t="str">
        <x:v>High-Speed CNC Milling Center</x:v>
      </x:c>
      <x:c r="E8" s="16" t="str">
        <x:v>Electrical</x:v>
      </x:c>
      <x:c r="F8" s="16" t="str">
        <x:v>Servo Encoder Jitter</x:v>
      </x:c>
      <x:c r="G8" s="16" t="str">
        <x:v>Sinamics drive tracking warning.</x:v>
      </x:c>
      <x:c r="H8" s="34" t="b">
        <x:v>0</x:v>
      </x:c>
      <x:c r="I8" s="16" t="str"/>
      <x:c r="J8" s="28" t="n">
        <x:v>120000</x:v>
      </x:c>
      <x:c r="K8" s="16" t="n">
        <x:v>15</x:v>
      </x:c>
      <x:c r="L8" s="28" t="n">
        <x:f>K8/60*J8</x:f>
        <x:v>30000</x:v>
      </x:c>
      <x:c r="M8" s="16" t="str">
        <x:v>Feedback Lead</x:v>
      </x:c>
      <x:c r="N8" s="28" t="n">
        <x:v>14000</x:v>
      </x:c>
      <x:c r="O8" s="28" t="n">
        <x:v>3500</x:v>
      </x:c>
      <x:c r="P8" s="28" t="n">
        <x:f>L8+N8+O8</x:f>
        <x:v>47500</x:v>
      </x:c>
      <x:c r="Q8" s="16" t="n">
        <x:v>150</x:v>
      </x:c>
      <x:c r="R8" s="28" t="n">
        <x:f>IF(H8=TRUE,"",Q8/60*J8)</x:f>
        <x:v>300000</x:v>
      </x:c>
      <x:c r="S8" s="16" t="str">
        <x:v>Servo Motor Package</x:v>
      </x:c>
      <x:c r="T8" s="28" t="n">
        <x:v>290000</x:v>
      </x:c>
      <x:c r="U8" s="28" t="n">
        <x:v>50000</x:v>
      </x:c>
      <x:c r="V8" s="28" t="n">
        <x:v>12000</x:v>
      </x:c>
      <x:c r="W8" s="28" t="n">
        <x:v>30000</x:v>
      </x:c>
      <x:c r="X8" s="16" t="str">
        <x:v>Scrap Part</x:v>
      </x:c>
      <x:c r="Y8" s="28" t="n">
        <x:v>95000</x:v>
      </x:c>
      <x:c r="Z8" s="28" t="n">
        <x:f>IF(H8=TRUE,"",R8+T8+U8+V8+W8+Y8)</x:f>
        <x:v>777000</x:v>
      </x:c>
      <x:c r="AA8" s="28" t="n">
        <x:f>IF(H8=TRUE,"",Z8-P8)</x:f>
        <x:v>729500</x:v>
      </x:c>
      <x:c r="AB8" s="16" t="str">
        <x:f>IF(H8=TRUE,"MANDATORY SAFETY OVERRIDE",IF(AA8&gt;0,"INTERVENE NOW","REVIEW"))</x:f>
        <x:v>INTERVENE NOW</x:v>
      </x:c>
    </x:row>
    <x:row r="9">
      <x:c r="A9" s="16" t="str">
        <x:v>M2-E03</x:v>
      </x:c>
      <x:c r="B9" s="16" t="n">
        <x:v>2</x:v>
      </x:c>
      <x:c r="C9" s="16" t="str">
        <x:v>M-201; M-202</x:v>
      </x:c>
      <x:c r="D9" s="16" t="str">
        <x:v>High-Speed CNC Milling Center</x:v>
      </x:c>
      <x:c r="E9" s="16" t="str">
        <x:v>Mechanical</x:v>
      </x:c>
      <x:c r="F9" s="16" t="str">
        <x:v>Pump Cavitation</x:v>
      </x:c>
      <x:c r="G9" s="16" t="str">
        <x:v>Coolant line pressure dips below 3 bar.</x:v>
      </x:c>
      <x:c r="H9" s="34" t="b">
        <x:v>0</x:v>
      </x:c>
      <x:c r="I9" s="16" t="str"/>
      <x:c r="J9" s="28" t="n">
        <x:v>120000</x:v>
      </x:c>
      <x:c r="K9" s="16" t="n">
        <x:v>10</x:v>
      </x:c>
      <x:c r="L9" s="28" t="n">
        <x:f>K9/60*J9</x:f>
        <x:v>20000</x:v>
      </x:c>
      <x:c r="M9" s="16" t="str">
        <x:v>Gasket &amp; Strainer</x:v>
      </x:c>
      <x:c r="N9" s="28" t="n">
        <x:v>6000</x:v>
      </x:c>
      <x:c r="O9" s="28" t="n">
        <x:v>2000</x:v>
      </x:c>
      <x:c r="P9" s="28" t="n">
        <x:f>L9+N9+O9</x:f>
        <x:v>28000</x:v>
      </x:c>
      <x:c r="Q9" s="16" t="n">
        <x:v>110</x:v>
      </x:c>
      <x:c r="R9" s="28" t="n">
        <x:f>IF(H9=TRUE,"",Q9/60*J9)</x:f>
        <x:v>220000</x:v>
      </x:c>
      <x:c r="S9" s="16" t="str">
        <x:v>Multi-stage Pump</x:v>
      </x:c>
      <x:c r="T9" s="28" t="n">
        <x:v>130000</x:v>
      </x:c>
      <x:c r="U9" s="28" t="n">
        <x:v>25000</x:v>
      </x:c>
      <x:c r="V9" s="28" t="n">
        <x:v>8800</x:v>
      </x:c>
      <x:c r="W9" s="28" t="n">
        <x:v>18000</x:v>
      </x:c>
      <x:c r="X9" s="16" t="str">
        <x:v>Burned Scrap</x:v>
      </x:c>
      <x:c r="Y9" s="28" t="n">
        <x:v>40000</x:v>
      </x:c>
      <x:c r="Z9" s="28" t="n">
        <x:f>IF(H9=TRUE,"",R9+T9+U9+V9+W9+Y9)</x:f>
        <x:v>441800</x:v>
      </x:c>
      <x:c r="AA9" s="28" t="n">
        <x:f>IF(H9=TRUE,"",Z9-P9)</x:f>
        <x:v>413800</x:v>
      </x:c>
      <x:c r="AB9" s="16" t="str">
        <x:f>IF(H9=TRUE,"MANDATORY SAFETY OVERRIDE",IF(AA9&gt;0,"INTERVENE NOW","REVIEW"))</x:f>
        <x:v>INTERVENE NOW</x:v>
      </x:c>
    </x:row>
    <x:row r="10">
      <x:c r="A10" s="16" t="str">
        <x:v>M2-E04</x:v>
      </x:c>
      <x:c r="B10" s="16" t="n">
        <x:v>2</x:v>
      </x:c>
      <x:c r="C10" s="16" t="str">
        <x:v>M-201; M-202</x:v>
      </x:c>
      <x:c r="D10" s="16" t="str">
        <x:v>High-Speed CNC Milling Center</x:v>
      </x:c>
      <x:c r="E10" s="16" t="str">
        <x:v>Electrical</x:v>
      </x:c>
      <x:c r="F10" s="16" t="str">
        <x:v>Solenoid Overheating</x:v>
      </x:c>
      <x:c r="G10" s="16" t="str">
        <x:v>Tool changer arm cycle delay &gt; 1.8 s.</x:v>
      </x:c>
      <x:c r="H10" s="34" t="b">
        <x:v>0</x:v>
      </x:c>
      <x:c r="I10" s="16" t="str"/>
      <x:c r="J10" s="28" t="n">
        <x:v>120000</x:v>
      </x:c>
      <x:c r="K10" s="16" t="n">
        <x:v>10</x:v>
      </x:c>
      <x:c r="L10" s="28" t="n">
        <x:f>K10/60*J10</x:f>
        <x:v>20000</x:v>
      </x:c>
      <x:c r="M10" s="16" t="str">
        <x:v>24 V Solenoid</x:v>
      </x:c>
      <x:c r="N10" s="28" t="n">
        <x:v>7500</x:v>
      </x:c>
      <x:c r="O10" s="28" t="n">
        <x:v>2500</x:v>
      </x:c>
      <x:c r="P10" s="28" t="n">
        <x:f>L10+N10+O10</x:f>
        <x:v>30000</x:v>
      </x:c>
      <x:c r="Q10" s="16" t="n">
        <x:v>140</x:v>
      </x:c>
      <x:c r="R10" s="28" t="n">
        <x:f>IF(H10=TRUE,"",Q10/60*J10)</x:f>
        <x:v>280000</x:v>
      </x:c>
      <x:c r="S10" s="16" t="str">
        <x:v>Gripper Assembly</x:v>
      </x:c>
      <x:c r="T10" s="28" t="n">
        <x:v>340000</x:v>
      </x:c>
      <x:c r="U10" s="28" t="n">
        <x:v>60000</x:v>
      </x:c>
      <x:c r="V10" s="28" t="n">
        <x:v>11200</x:v>
      </x:c>
      <x:c r="W10" s="28" t="n">
        <x:v>25000</x:v>
      </x:c>
      <x:c r="X10" s="16" t="str">
        <x:v>Fixture Scrap</x:v>
      </x:c>
      <x:c r="Y10" s="28" t="n">
        <x:v>65000</x:v>
      </x:c>
      <x:c r="Z10" s="28" t="n">
        <x:f>IF(H10=TRUE,"",R10+T10+U10+V10+W10+Y10)</x:f>
        <x:v>781200</x:v>
      </x:c>
      <x:c r="AA10" s="28" t="n">
        <x:f>IF(H10=TRUE,"",Z10-P10)</x:f>
        <x:v>751200</x:v>
      </x:c>
      <x:c r="AB10" s="16" t="str">
        <x:f>IF(H10=TRUE,"MANDATORY SAFETY OVERRIDE",IF(AA10&gt;0,"INTERVENE NOW","REVIEW"))</x:f>
        <x:v>INTERVENE NOW</x:v>
      </x:c>
    </x:row>
    <x:row r="11">
      <x:c r="A11" s="16" t="str">
        <x:v>M2-E05</x:v>
      </x:c>
      <x:c r="B11" s="16" t="n">
        <x:v>2</x:v>
      </x:c>
      <x:c r="C11" s="16" t="str">
        <x:v>M-201; M-202</x:v>
      </x:c>
      <x:c r="D11" s="16" t="str">
        <x:v>High-Speed CNC Milling Center</x:v>
      </x:c>
      <x:c r="E11" s="16" t="str">
        <x:v>Safety</x:v>
      </x:c>
      <x:c r="F11" s="16" t="str">
        <x:v>Enclosure Interlock Fault</x:v>
      </x:c>
      <x:c r="G11" s="16" t="str">
        <x:v>Spindle continues spinning with door open.</x:v>
      </x:c>
      <x:c r="H11" s="34" t="b">
        <x:v>1</x:v>
      </x:c>
      <x:c r="I11" s="16" t="str">
        <x:v>MANDATORY SAFETY OVERRIDE: Option B locked out. Operating with an unverified interlock switch violates machine safeguarding regulations.</x:v>
      </x:c>
      <x:c r="J11" s="28" t="n">
        <x:v>120000</x:v>
      </x:c>
      <x:c r="K11" s="16" t="n">
        <x:v>10</x:v>
      </x:c>
      <x:c r="L11" s="28" t="n">
        <x:f>K11/60*J11</x:f>
        <x:v>20000</x:v>
      </x:c>
      <x:c r="M11" s="16" t="str">
        <x:v>Magnetic Switch</x:v>
      </x:c>
      <x:c r="N11" s="28" t="n">
        <x:v>9000</x:v>
      </x:c>
      <x:c r="O11" s="28" t="n">
        <x:v>2500</x:v>
      </x:c>
      <x:c r="P11" s="28" t="n">
        <x:f>L11+N11+O11</x:f>
        <x:v>31500</x:v>
      </x:c>
      <x:c r="Q11" s="16"/>
      <x:c r="R11" s="28" t="str">
        <x:f>IF(H11=TRUE,"",Q11/60*J11)</x:f>
      </x:c>
      <x:c r="S11" s="16" t="str">
        <x:v>LOCKED OUT</x:v>
      </x:c>
      <x:c r="T11" s="28"/>
      <x:c r="U11" s="28"/>
      <x:c r="V11" s="28"/>
      <x:c r="W11" s="28"/>
      <x:c r="X11" s="16" t="str">
        <x:v>Not Applicable</x:v>
      </x:c>
      <x:c r="Y11" s="28"/>
      <x:c r="Z11" s="28" t="str">
        <x:f>IF(H11=TRUE,"",R11+T11+U11+V11+W11+Y11)</x:f>
      </x:c>
      <x:c r="AA11" s="28" t="str">
        <x:f>IF(H11=TRUE,"",Z11-P11)</x:f>
      </x:c>
      <x:c r="AB11" s="16" t="str">
        <x:f>IF(H11=TRUE,"MANDATORY SAFETY OVERRIDE",IF(AA11&gt;0,"INTERVENE NOW","REVIEW"))</x:f>
        <x:v>MANDATORY SAFETY OVERRIDE</x:v>
      </x:c>
    </x:row>
    <x:row r="12">
      <x:c r="A12" s="16" t="str">
        <x:v>M3-E01</x:v>
      </x:c>
      <x:c r="B12" s="16" t="n">
        <x:v>3</x:v>
      </x:c>
      <x:c r="C12" s="16" t="str">
        <x:v>M-301; M-302; M-303; M-304</x:v>
      </x:c>
      <x:c r="D12" s="16" t="str">
        <x:v>Automated Packaging Cell</x:v>
      </x:c>
      <x:c r="E12" s="16" t="str">
        <x:v>Mechanical</x:v>
      </x:c>
      <x:c r="F12" s="16" t="str">
        <x:v>Conveyor Belt Skew</x:v>
      </x:c>
      <x:c r="G12" s="16" t="str">
        <x:v>Belt edge rubbing side chassis guide.</x:v>
      </x:c>
      <x:c r="H12" s="34" t="b">
        <x:v>0</x:v>
      </x:c>
      <x:c r="I12" s="16" t="str"/>
      <x:c r="J12" s="28" t="n">
        <x:v>45000</x:v>
      </x:c>
      <x:c r="K12" s="16" t="n">
        <x:v>15</x:v>
      </x:c>
      <x:c r="L12" s="28" t="n">
        <x:f>K12/60*J12</x:f>
        <x:v>11250</x:v>
      </x:c>
      <x:c r="M12" s="16" t="str">
        <x:v>Guide Collar</x:v>
      </x:c>
      <x:c r="N12" s="28" t="n">
        <x:v>5000</x:v>
      </x:c>
      <x:c r="O12" s="28" t="n">
        <x:v>2500</x:v>
      </x:c>
      <x:c r="P12" s="28" t="n">
        <x:f>L12+N12+O12</x:f>
        <x:v>18750</x:v>
      </x:c>
      <x:c r="Q12" s="16" t="n">
        <x:v>90</x:v>
      </x:c>
      <x:c r="R12" s="28" t="n">
        <x:f>IF(H12=TRUE,"",Q12/60*J12)</x:f>
        <x:v>67500</x:v>
      </x:c>
      <x:c r="S12" s="16" t="str">
        <x:v>Vulcanized Belt</x:v>
      </x:c>
      <x:c r="T12" s="28" t="n">
        <x:v>78000</x:v>
      </x:c>
      <x:c r="U12" s="28" t="n">
        <x:v>20000</x:v>
      </x:c>
      <x:c r="V12" s="28" t="n">
        <x:v>6000</x:v>
      </x:c>
      <x:c r="W12" s="28" t="n">
        <x:v>14000</x:v>
      </x:c>
      <x:c r="X12" s="16" t="str">
        <x:v>Crushed Cartons</x:v>
      </x:c>
      <x:c r="Y12" s="28" t="n">
        <x:v>22000</x:v>
      </x:c>
      <x:c r="Z12" s="28" t="n">
        <x:f>IF(H12=TRUE,"",R12+T12+U12+V12+W12+Y12)</x:f>
        <x:v>207500</x:v>
      </x:c>
      <x:c r="AA12" s="28" t="n">
        <x:f>IF(H12=TRUE,"",Z12-P12)</x:f>
        <x:v>188750</x:v>
      </x:c>
      <x:c r="AB12" s="16" t="str">
        <x:f>IF(H12=TRUE,"MANDATORY SAFETY OVERRIDE",IF(AA12&gt;0,"INTERVENE NOW","REVIEW"))</x:f>
        <x:v>INTERVENE NOW</x:v>
      </x:c>
    </x:row>
    <x:row r="13">
      <x:c r="A13" s="16" t="str">
        <x:v>M3-E02</x:v>
      </x:c>
      <x:c r="B13" s="16" t="n">
        <x:v>3</x:v>
      </x:c>
      <x:c r="C13" s="16" t="str">
        <x:v>M-301; M-302; M-303; M-304</x:v>
      </x:c>
      <x:c r="D13" s="16" t="str">
        <x:v>Automated Packaging Cell</x:v>
      </x:c>
      <x:c r="E13" s="16" t="str">
        <x:v>Electrical</x:v>
      </x:c>
      <x:c r="F13" s="16" t="str">
        <x:v>Vacuum Sensor Drift</x:v>
      </x:c>
      <x:c r="G13" s="16" t="str">
        <x:v>Negative pressure fluctuations during case pick.</x:v>
      </x:c>
      <x:c r="H13" s="34" t="b">
        <x:v>0</x:v>
      </x:c>
      <x:c r="I13" s="16" t="str"/>
      <x:c r="J13" s="28" t="n">
        <x:v>45000</x:v>
      </x:c>
      <x:c r="K13" s="16" t="n">
        <x:v>10</x:v>
      </x:c>
      <x:c r="L13" s="28" t="n">
        <x:f>K13/60*J13</x:f>
        <x:v>7500</x:v>
      </x:c>
      <x:c r="M13" s="16" t="str">
        <x:v>Cup/Filter Kit</x:v>
      </x:c>
      <x:c r="N13" s="28" t="n">
        <x:v>4500</x:v>
      </x:c>
      <x:c r="O13" s="28" t="n">
        <x:v>2000</x:v>
      </x:c>
      <x:c r="P13" s="28" t="n">
        <x:f>L13+N13+O13</x:f>
        <x:v>14000</x:v>
      </x:c>
      <x:c r="Q13" s="16" t="n">
        <x:v>75</x:v>
      </x:c>
      <x:c r="R13" s="28" t="n">
        <x:f>IF(H13=TRUE,"",Q13/60*J13)</x:f>
        <x:v>56250</x:v>
      </x:c>
      <x:c r="S13" s="16" t="str">
        <x:v>Venturi Vacuum Unit</x:v>
      </x:c>
      <x:c r="T13" s="28" t="n">
        <x:v>85000</x:v>
      </x:c>
      <x:c r="U13" s="28" t="n">
        <x:v>18000</x:v>
      </x:c>
      <x:c r="V13" s="28" t="n">
        <x:v>5000</x:v>
      </x:c>
      <x:c r="W13" s="28" t="n">
        <x:v>12000</x:v>
      </x:c>
      <x:c r="X13" s="16" t="str">
        <x:v>Ruined Stock</x:v>
      </x:c>
      <x:c r="Y13" s="28" t="n">
        <x:v>48000</x:v>
      </x:c>
      <x:c r="Z13" s="28" t="n">
        <x:f>IF(H13=TRUE,"",R13+T13+U13+V13+W13+Y13)</x:f>
        <x:v>224250</x:v>
      </x:c>
      <x:c r="AA13" s="28" t="n">
        <x:f>IF(H13=TRUE,"",Z13-P13)</x:f>
        <x:v>210250</x:v>
      </x:c>
      <x:c r="AB13" s="16" t="str">
        <x:f>IF(H13=TRUE,"MANDATORY SAFETY OVERRIDE",IF(AA13&gt;0,"INTERVENE NOW","REVIEW"))</x:f>
        <x:v>INTERVENE NOW</x:v>
      </x:c>
    </x:row>
    <x:row r="14">
      <x:c r="A14" s="16" t="str">
        <x:v>M3-E03</x:v>
      </x:c>
      <x:c r="B14" s="16" t="n">
        <x:v>3</x:v>
      </x:c>
      <x:c r="C14" s="16" t="str">
        <x:v>M-301; M-302; M-303; M-304</x:v>
      </x:c>
      <x:c r="D14" s="16" t="str">
        <x:v>Automated Packaging Cell</x:v>
      </x:c>
      <x:c r="E14" s="16" t="str">
        <x:v>Mechanical</x:v>
      </x:c>
      <x:c r="F14" s="16" t="str">
        <x:v>Nozzle Carbonization</x:v>
      </x:c>
      <x:c r="G14" s="16" t="str">
        <x:v>Adhesive stringing and partial glue flap bead.</x:v>
      </x:c>
      <x:c r="H14" s="34" t="b">
        <x:v>0</x:v>
      </x:c>
      <x:c r="I14" s="16" t="str"/>
      <x:c r="J14" s="28" t="n">
        <x:v>45000</x:v>
      </x:c>
      <x:c r="K14" s="16" t="n">
        <x:v>10</x:v>
      </x:c>
      <x:c r="L14" s="28" t="n">
        <x:f>K14/60*J14</x:f>
        <x:v>7500</x:v>
      </x:c>
      <x:c r="M14" s="16" t="str">
        <x:v>Brass Nozzle</x:v>
      </x:c>
      <x:c r="N14" s="28" t="n">
        <x:v>6000</x:v>
      </x:c>
      <x:c r="O14" s="28" t="n">
        <x:v>2000</x:v>
      </x:c>
      <x:c r="P14" s="28" t="n">
        <x:f>L14+N14+O14</x:f>
        <x:v>15500</x:v>
      </x:c>
      <x:c r="Q14" s="16" t="n">
        <x:v>80</x:v>
      </x:c>
      <x:c r="R14" s="28" t="n">
        <x:f>IF(H14=TRUE,"",Q14/60*J14)</x:f>
        <x:v>60000</x:v>
      </x:c>
      <x:c r="S14" s="16" t="str">
        <x:v>Heated Manifold Head</x:v>
      </x:c>
      <x:c r="T14" s="28" t="n">
        <x:v>115000</x:v>
      </x:c>
      <x:c r="U14" s="28" t="n">
        <x:v>22000</x:v>
      </x:c>
      <x:c r="V14" s="28" t="n">
        <x:v>5300</x:v>
      </x:c>
      <x:c r="W14" s="28" t="n">
        <x:v>14000</x:v>
      </x:c>
      <x:c r="X14" s="16" t="str">
        <x:v>Batch Scrap</x:v>
      </x:c>
      <x:c r="Y14" s="28" t="n">
        <x:v>15000</x:v>
      </x:c>
      <x:c r="Z14" s="28" t="n">
        <x:f>IF(H14=TRUE,"",R14+T14+U14+V14+W14+Y14)</x:f>
        <x:v>231300</x:v>
      </x:c>
      <x:c r="AA14" s="28" t="n">
        <x:f>IF(H14=TRUE,"",Z14-P14)</x:f>
        <x:v>215800</x:v>
      </x:c>
      <x:c r="AB14" s="16" t="str">
        <x:f>IF(H14=TRUE,"MANDATORY SAFETY OVERRIDE",IF(AA14&gt;0,"INTERVENE NOW","REVIEW"))</x:f>
        <x:v>INTERVENE NOW</x:v>
      </x:c>
    </x:row>
    <x:row r="15">
      <x:c r="A15" s="16" t="str">
        <x:v>M3-E04</x:v>
      </x:c>
      <x:c r="B15" s="16" t="n">
        <x:v>3</x:v>
      </x:c>
      <x:c r="C15" s="16" t="str">
        <x:v>M-301; M-302; M-303; M-304</x:v>
      </x:c>
      <x:c r="D15" s="16" t="str">
        <x:v>Automated Packaging Cell</x:v>
      </x:c>
      <x:c r="E15" s="16" t="str">
        <x:v>Electrical</x:v>
      </x:c>
      <x:c r="F15" s="16" t="str">
        <x:v>Scanner Link Timeout</x:v>
      </x:c>
      <x:c r="G15" s="16" t="str">
        <x:v>EtherNet/IP dropped packets freeze sorting.</x:v>
      </x:c>
      <x:c r="H15" s="34" t="b">
        <x:v>0</x:v>
      </x:c>
      <x:c r="I15" s="16" t="str"/>
      <x:c r="J15" s="28" t="n">
        <x:v>45000</x:v>
      </x:c>
      <x:c r="K15" s="16" t="n">
        <x:v>10</x:v>
      </x:c>
      <x:c r="L15" s="28" t="n">
        <x:f>K15/60*J15</x:f>
        <x:v>7500</x:v>
      </x:c>
      <x:c r="M15" s="16" t="str">
        <x:v>Shielded Cable</x:v>
      </x:c>
      <x:c r="N15" s="28" t="n">
        <x:v>7000</x:v>
      </x:c>
      <x:c r="O15" s="28" t="n">
        <x:v>2000</x:v>
      </x:c>
      <x:c r="P15" s="28" t="n">
        <x:f>L15+N15+O15</x:f>
        <x:v>16500</x:v>
      </x:c>
      <x:c r="Q15" s="16" t="n">
        <x:v>60</x:v>
      </x:c>
      <x:c r="R15" s="28" t="n">
        <x:f>IF(H15=TRUE,"",Q15/60*J15)</x:f>
        <x:v>45000</x:v>
      </x:c>
      <x:c r="S15" s="16" t="str">
        <x:v>Laser Imager Unit</x:v>
      </x:c>
      <x:c r="T15" s="28" t="n">
        <x:v>165000</x:v>
      </x:c>
      <x:c r="U15" s="28" t="n">
        <x:v>28000</x:v>
      </x:c>
      <x:c r="V15" s="28" t="n">
        <x:v>4000</x:v>
      </x:c>
      <x:c r="W15" s="28" t="n">
        <x:v>12000</x:v>
      </x:c>
      <x:c r="X15" s="16" t="str">
        <x:v>Re-label Scrap</x:v>
      </x:c>
      <x:c r="Y15" s="28" t="n">
        <x:v>5000</x:v>
      </x:c>
      <x:c r="Z15" s="28" t="n">
        <x:f>IF(H15=TRUE,"",R15+T15+U15+V15+W15+Y15)</x:f>
        <x:v>259000</x:v>
      </x:c>
      <x:c r="AA15" s="28" t="n">
        <x:f>IF(H15=TRUE,"",Z15-P15)</x:f>
        <x:v>242500</x:v>
      </x:c>
      <x:c r="AB15" s="16" t="str">
        <x:f>IF(H15=TRUE,"MANDATORY SAFETY OVERRIDE",IF(AA15&gt;0,"INTERVENE NOW","REVIEW"))</x:f>
        <x:v>INTERVENE NOW</x:v>
      </x:c>
    </x:row>
    <x:row r="16">
      <x:c r="A16" s="16" t="str">
        <x:v>M3-E05</x:v>
      </x:c>
      <x:c r="B16" s="16" t="n">
        <x:v>3</x:v>
      </x:c>
      <x:c r="C16" s="16" t="str">
        <x:v>M-301; M-302; M-303; M-304</x:v>
      </x:c>
      <x:c r="D16" s="16" t="str">
        <x:v>Automated Packaging Cell</x:v>
      </x:c>
      <x:c r="E16" s="16" t="str">
        <x:v>Safety</x:v>
      </x:c>
      <x:c r="F16" s="16" t="str">
        <x:v>E-Stop Ground Fault</x:v>
      </x:c>
      <x:c r="G16" s="16" t="str">
        <x:v>Emergency loop fails continuity self-test.</x:v>
      </x:c>
      <x:c r="H16" s="34" t="b">
        <x:v>1</x:v>
      </x:c>
      <x:c r="I16" s="16" t="str">
        <x:v>MANDATORY SAFETY OVERRIDE: Option B locked out. Compromised emergency circuits prevent legal operation under statutory safety law.</x:v>
      </x:c>
      <x:c r="J16" s="28" t="n">
        <x:v>45000</x:v>
      </x:c>
      <x:c r="K16" s="16" t="n">
        <x:v>10</x:v>
      </x:c>
      <x:c r="L16" s="28" t="n">
        <x:f>K16/60*J16</x:f>
        <x:v>7500</x:v>
      </x:c>
      <x:c r="M16" s="16" t="str">
        <x:v>Safety Contact</x:v>
      </x:c>
      <x:c r="N16" s="28" t="n">
        <x:v>6500</x:v>
      </x:c>
      <x:c r="O16" s="28" t="n">
        <x:v>2000</x:v>
      </x:c>
      <x:c r="P16" s="28" t="n">
        <x:f>L16+N16+O16</x:f>
        <x:v>16000</x:v>
      </x:c>
      <x:c r="Q16" s="16"/>
      <x:c r="R16" s="28" t="str">
        <x:f>IF(H16=TRUE,"",Q16/60*J16)</x:f>
      </x:c>
      <x:c r="S16" s="16" t="str">
        <x:v>LOCKED OUT</x:v>
      </x:c>
      <x:c r="T16" s="28"/>
      <x:c r="U16" s="28"/>
      <x:c r="V16" s="28"/>
      <x:c r="W16" s="28"/>
      <x:c r="X16" s="16" t="str">
        <x:v>Not Applicable</x:v>
      </x:c>
      <x:c r="Y16" s="28"/>
      <x:c r="Z16" s="28" t="str">
        <x:f>IF(H16=TRUE,"",R16+T16+U16+V16+W16+Y16)</x:f>
      </x:c>
      <x:c r="AA16" s="28" t="str">
        <x:f>IF(H16=TRUE,"",Z16-P16)</x:f>
      </x:c>
      <x:c r="AB16" s="16" t="str">
        <x:f>IF(H16=TRUE,"MANDATORY SAFETY OVERRIDE",IF(AA16&gt;0,"INTERVENE NOW","REVIEW"))</x:f>
        <x:v>MANDATORY SAFETY OVERRIDE</x:v>
      </x:c>
    </x:row>
  </x:sheetData>
  <x:conditionalFormatting sqref="H2:H16">
    <x:cfRule type="expression" dxfId="0" priority="1">
      <x:formula>H2=TRUE</x:formula>
    </x:cfRule>
  </x:conditionalFormatting>
  <x:conditionalFormatting sqref="AA2:AA16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{C97AEEDC-B1AF-54EF-4A75-1012722989CB}</x14:id>
        </x:ext>
      </x:extLst>
    </x:cfRule>
  </x:conditionalFormatting>
  <x:conditionalFormatting sqref="AB2:AB16">
    <x:cfRule type="expression" dxfId="1" priority="3">
      <x:formula>AB2="MANDATORY SAFETY OVERRIDE"</x:formula>
    </x:cfRule>
    <x:cfRule type="expression" dxfId="2" priority="4">
      <x:formula>AB2="INTERVENE NOW"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2d48941d73467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97AEEDC-B1AF-54EF-4A75-1012722989CB}">
            <x14:dataBar gradient="1">
              <x14:cfvo type="min"/>
              <x14:cfvo type="max"/>
              <x14:fillColor rgb="FF70AD47"/>
            </x14:dataBar>
          </x14:cfRule>
          <xm:sqref>AA2:AA16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4" hidden="0" customWidth="1"/>
  </x:cols>
  <x:sheetData>
    <x:row r="1">
      <x:c r="A1" s="5" t="str">
        <x:v>Strategic Landing Overview — Seed Metrics</x:v>
      </x:c>
      <x:c r="B1" s="5"/>
      <x:c r="C1" s="5"/>
      <x:c r="D1" s="5"/>
    </x:row>
    <x:row r="3">
      <x:c r="A3" s="22" t="str">
        <x:v>Metric</x:v>
      </x:c>
      <x:c r="B3" s="22" t="str">
        <x:v>Value</x:v>
      </x:c>
      <x:c r="C3" s="22" t="str">
        <x:v>Unit</x:v>
      </x:c>
      <x:c r="D3" s="22" t="str">
        <x:v>Source Period</x:v>
      </x:c>
    </x:row>
    <x:row r="4">
      <x:c r="A4" s="16" t="str">
        <x:v>Net Capital Losses Avoided</x:v>
      </x:c>
      <x:c r="B4" s="28" t="n">
        <x:f>Dashboard_Data!B10</x:f>
        <x:v>8420250</x:v>
      </x:c>
      <x:c r="C4" s="16" t="str">
        <x:v>PKR</x:v>
      </x:c>
      <x:c r="D4" s="16" t="str">
        <x:v>July–September 2026</x:v>
      </x:c>
    </x:row>
    <x:row r="5">
      <x:c r="A5" s="16" t="str">
        <x:v>Production Hours Rescued</x:v>
      </x:c>
      <x:c r="B5" s="48" t="n">
        <x:f>Dashboard_Data!B11</x:f>
        <x:v>26.5</x:v>
      </x:c>
      <x:c r="C5" s="16" t="str">
        <x:v>hours</x:v>
      </x:c>
      <x:c r="D5" s="16" t="str">
        <x:v>July–September 2026</x:v>
      </x:c>
    </x:row>
    <x:row r="6">
      <x:c r="A6" s="16" t="str">
        <x:v>Preventative Stops Approved</x:v>
      </x:c>
      <x:c r="B6" s="16" t="n">
        <x:f>Dashboard_Data!B12</x:f>
        <x:v>11</x:v>
      </x:c>
      <x:c r="C6" s="16" t="str">
        <x:v>actions</x:v>
      </x:c>
      <x:c r="D6" s="16" t="str">
        <x:v>July–September 2026</x:v>
      </x:c>
    </x:row>
    <x:row r="7">
      <x:c r="A7" s="16" t="str">
        <x:v>Mandatory Safety Overrides Enforced</x:v>
      </x:c>
      <x:c r="B7" s="16" t="n">
        <x:f>Dashboard_Data!B13</x:f>
        <x:v>3</x:v>
      </x:c>
      <x:c r="C7" s="16" t="str">
        <x:v>stops</x:v>
      </x:c>
      <x:c r="D7" s="16" t="str">
        <x:v>July–September 2026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20" hidden="0" customWidth="1"/>
    <x:col min="5" max="5" width="12" hidden="0" customWidth="1"/>
    <x:col min="6" max="6" width="42" hidden="0" customWidth="1"/>
    <x:col min="7" max="7" width="24" hidden="0" customWidth="1"/>
    <x:col min="8" max="8" width="27" hidden="0" customWidth="1"/>
    <x:col min="9" max="9" width="20" hidden="0" customWidth="1"/>
    <x:col min="10" max="10" width="20" hidden="0" customWidth="1"/>
    <x:col min="11" max="11" width="23" hidden="0" customWidth="1"/>
    <x:col min="12" max="12" width="18" hidden="0" customWidth="1"/>
    <x:col min="13" max="13" width="42" hidden="0" customWidth="1"/>
  </x:cols>
  <x:sheetData>
    <x:row r="1">
      <x:c r="A1" s="22" t="str">
        <x:v>Timestamp</x:v>
      </x:c>
      <x:c r="B1" s="22" t="str">
        <x:v>Machine_ID</x:v>
      </x:c>
      <x:c r="C1" s="22" t="str">
        <x:v>Error_ID</x:v>
      </x:c>
      <x:c r="D1" s="22" t="str">
        <x:v>Reported_By</x:v>
      </x:c>
      <x:c r="E1" s="22" t="str">
        <x:v>Shift</x:v>
      </x:c>
      <x:c r="F1" s="22" t="str">
        <x:v>Observed_Symptom</x:v>
      </x:c>
      <x:c r="G1" s="22" t="str">
        <x:v>Recommended_Action</x:v>
      </x:c>
      <x:c r="H1" s="22" t="str">
        <x:v>Actual_Decision</x:v>
      </x:c>
      <x:c r="I1" s="22" t="str">
        <x:v>OptionA_Total_PKR</x:v>
      </x:c>
      <x:c r="J1" s="22" t="str">
        <x:v>OptionB_Total_PKR</x:v>
      </x:c>
      <x:c r="K1" s="22" t="str">
        <x:v>Net_Avoided_Loss_PKR</x:v>
      </x:c>
      <x:c r="L1" s="22" t="str">
        <x:v>Safety_Override</x:v>
      </x:c>
      <x:c r="M1" s="22" t="str">
        <x:v>Remarks</x:v>
      </x:c>
    </x:row>
    <x:row r="2">
      <x:c r="A2" s="16"/>
      <x:c r="B2" s="16"/>
      <x:c r="C2" s="16"/>
      <x:c r="D2" s="16"/>
      <x:c r="E2" s="16"/>
      <x:c r="F2" s="16"/>
      <x:c r="G2" s="16"/>
      <x:c r="H2" s="16"/>
      <x:c r="I2" s="28"/>
      <x:c r="J2" s="28"/>
      <x:c r="K2" s="28"/>
      <x:c r="L2" s="16"/>
      <x:c r="M2" s="16"/>
    </x:row>
    <x:row r="3">
      <x:c r="A3" s="16"/>
      <x:c r="B3" s="16"/>
      <x:c r="C3" s="16"/>
      <x:c r="D3" s="16"/>
      <x:c r="E3" s="16"/>
      <x:c r="F3" s="16"/>
      <x:c r="G3" s="16"/>
      <x:c r="H3" s="16"/>
      <x:c r="I3" s="28"/>
      <x:c r="J3" s="28"/>
      <x:c r="K3" s="28"/>
      <x:c r="L3" s="16"/>
      <x:c r="M3" s="16"/>
    </x:row>
    <x:row r="4">
      <x:c r="A4" s="16"/>
      <x:c r="B4" s="16"/>
      <x:c r="C4" s="16"/>
      <x:c r="D4" s="16"/>
      <x:c r="E4" s="16"/>
      <x:c r="F4" s="16"/>
      <x:c r="G4" s="16"/>
      <x:c r="H4" s="16"/>
      <x:c r="I4" s="28"/>
      <x:c r="J4" s="28"/>
      <x:c r="K4" s="28"/>
      <x:c r="L4" s="16"/>
      <x:c r="M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28"/>
      <x:c r="J5" s="28"/>
      <x:c r="K5" s="28"/>
      <x:c r="L5" s="16"/>
      <x:c r="M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28"/>
      <x:c r="J6" s="28"/>
      <x:c r="K6" s="28"/>
      <x:c r="L6" s="16"/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28"/>
      <x:c r="J7" s="28"/>
      <x:c r="K7" s="28"/>
      <x:c r="L7" s="16"/>
      <x:c r="M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28"/>
      <x:c r="J8" s="28"/>
      <x:c r="K8" s="28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28"/>
      <x:c r="J9" s="28"/>
      <x:c r="K9" s="28"/>
      <x:c r="L9" s="16"/>
      <x:c r="M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28"/>
      <x:c r="J10" s="28"/>
      <x:c r="K10" s="28"/>
      <x:c r="L10" s="16"/>
      <x:c r="M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28"/>
      <x:c r="J11" s="28"/>
      <x:c r="K11" s="28"/>
      <x:c r="L11" s="16"/>
      <x:c r="M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28"/>
      <x:c r="J12" s="28"/>
      <x:c r="K12" s="28"/>
      <x:c r="L12" s="16"/>
      <x:c r="M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28"/>
      <x:c r="J13" s="28"/>
      <x:c r="K13" s="28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28"/>
      <x:c r="J14" s="28"/>
      <x:c r="K14" s="28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28"/>
      <x:c r="J15" s="28"/>
      <x:c r="K15" s="28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28"/>
      <x:c r="J16" s="28"/>
      <x:c r="K16" s="28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28"/>
      <x:c r="J17" s="28"/>
      <x:c r="K17" s="28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28"/>
      <x:c r="J18" s="28"/>
      <x:c r="K18" s="28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28"/>
      <x:c r="J19" s="28"/>
      <x:c r="K19" s="28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28"/>
      <x:c r="J20" s="28"/>
      <x:c r="K20" s="28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28"/>
      <x:c r="J21" s="28"/>
      <x:c r="K21" s="28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28"/>
      <x:c r="J22" s="28"/>
      <x:c r="K22" s="28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28"/>
      <x:c r="J23" s="28"/>
      <x:c r="K23" s="28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28"/>
      <x:c r="J24" s="28"/>
      <x:c r="K24" s="28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28"/>
      <x:c r="J25" s="28"/>
      <x:c r="K25" s="28"/>
      <x:c r="L25" s="16"/>
      <x:c r="M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28"/>
      <x:c r="J26" s="28"/>
      <x:c r="K26" s="28"/>
      <x:c r="L26" s="16"/>
      <x:c r="M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28"/>
      <x:c r="J27" s="28"/>
      <x:c r="K27" s="28"/>
      <x:c r="L27" s="16"/>
      <x:c r="M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28"/>
      <x:c r="J28" s="28"/>
      <x:c r="K28" s="28"/>
      <x:c r="L28" s="16"/>
      <x:c r="M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28"/>
      <x:c r="J29" s="28"/>
      <x:c r="K29" s="28"/>
      <x:c r="L29" s="16"/>
      <x:c r="M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28"/>
      <x:c r="J30" s="28"/>
      <x:c r="K30" s="28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28"/>
      <x:c r="J31" s="28"/>
      <x:c r="K31" s="28"/>
      <x:c r="L31" s="16"/>
      <x:c r="M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28"/>
      <x:c r="J32" s="28"/>
      <x:c r="K32" s="28"/>
      <x:c r="L32" s="16"/>
      <x:c r="M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28"/>
      <x:c r="J33" s="28"/>
      <x:c r="K33" s="28"/>
      <x:c r="L33" s="16"/>
      <x:c r="M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28"/>
      <x:c r="J34" s="28"/>
      <x:c r="K34" s="28"/>
      <x:c r="L34" s="16"/>
      <x:c r="M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28"/>
      <x:c r="J35" s="28"/>
      <x:c r="K35" s="28"/>
      <x:c r="L35" s="16"/>
      <x:c r="M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28"/>
      <x:c r="J36" s="28"/>
      <x:c r="K36" s="28"/>
      <x:c r="L36" s="16"/>
      <x:c r="M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28"/>
      <x:c r="J37" s="28"/>
      <x:c r="K37" s="28"/>
      <x:c r="L37" s="16"/>
      <x:c r="M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28"/>
      <x:c r="J38" s="28"/>
      <x:c r="K38" s="28"/>
      <x:c r="L38" s="16"/>
      <x:c r="M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28"/>
      <x:c r="J39" s="28"/>
      <x:c r="K39" s="28"/>
      <x:c r="L39" s="16"/>
      <x:c r="M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28"/>
      <x:c r="J40" s="28"/>
      <x:c r="K40" s="28"/>
      <x:c r="L40" s="16"/>
      <x:c r="M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28"/>
      <x:c r="J41" s="28"/>
      <x:c r="K41" s="28"/>
      <x:c r="L41" s="16"/>
      <x:c r="M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28"/>
      <x:c r="J42" s="28"/>
      <x:c r="K42" s="28"/>
      <x:c r="L42" s="16"/>
      <x:c r="M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28"/>
      <x:c r="J43" s="28"/>
      <x:c r="K43" s="28"/>
      <x:c r="L43" s="16"/>
      <x:c r="M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28"/>
      <x:c r="J44" s="28"/>
      <x:c r="K44" s="28"/>
      <x:c r="L44" s="16"/>
      <x:c r="M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28"/>
      <x:c r="J45" s="28"/>
      <x:c r="K45" s="28"/>
      <x:c r="L45" s="16"/>
      <x:c r="M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28"/>
      <x:c r="J46" s="28"/>
      <x:c r="K46" s="28"/>
      <x:c r="L46" s="16"/>
      <x:c r="M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28"/>
      <x:c r="J47" s="28"/>
      <x:c r="K47" s="28"/>
      <x:c r="L47" s="16"/>
      <x:c r="M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28"/>
      <x:c r="J48" s="28"/>
      <x:c r="K48" s="28"/>
      <x:c r="L48" s="16"/>
      <x:c r="M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28"/>
      <x:c r="J49" s="28"/>
      <x:c r="K49" s="28"/>
      <x:c r="L49" s="16"/>
      <x:c r="M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28"/>
      <x:c r="J50" s="28"/>
      <x:c r="K50" s="28"/>
      <x:c r="L50" s="16"/>
      <x:c r="M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28"/>
      <x:c r="J51" s="28"/>
      <x:c r="K51" s="28"/>
      <x:c r="L51" s="16"/>
      <x:c r="M51" s="16"/>
    </x:row>
  </x:sheetData>
  <x:dataValidations count="5">
    <x:dataValidation type="list" sqref="B2:B51">
      <x:formula1>Assets!$A$2:$A$8</x:formula1>
    </x:dataValidation>
    <x:dataValidation type="list" sqref="C2:C51">
      <x:formula1>Error_Matrix!$A$2:$A$16</x:formula1>
    </x:dataValidation>
    <x:dataValidation type="list" sqref="E2:E51">
      <x:formula1>"A,B,C,General"</x:formula1>
    </x:dataValidation>
    <x:dataValidation type="list" sqref="H2:H51">
      <x:formula1>"Accept Option A,Defer / Continue Running,Mandatory Stop"</x:formula1>
    </x:dataValidation>
    <x:dataValidation type="list" sqref="L2:L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031bd647a244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18" hidden="0" customWidth="1"/>
    <x:col min="7" max="7" width="30" hidden="0" customWidth="1"/>
    <x:col min="8" max="8" width="18" hidden="0" customWidth="1"/>
    <x:col min="9" max="9" width="10" hidden="0" customWidth="1"/>
    <x:col min="10" max="10" width="22" hidden="0" customWidth="1"/>
    <x:col min="11" max="11" width="16" hidden="0" customWidth="1"/>
    <x:col min="12" max="12" width="18" hidden="0" customWidth="1"/>
    <x:col min="13" max="13" width="23" hidden="0" customWidth="1"/>
    <x:col min="14" max="14" width="20" hidden="0" customWidth="1"/>
    <x:col min="15" max="15" width="20" hidden="0" customWidth="1"/>
    <x:col min="16" max="16" width="22" hidden="0" customWidth="1"/>
    <x:col min="17" max="17" width="23" hidden="0" customWidth="1"/>
    <x:col min="18" max="18" width="28" hidden="0" customWidth="1"/>
    <x:col min="19" max="19" width="24" hidden="0" customWidth="1"/>
    <x:col min="20" max="20" width="55" hidden="0" customWidth="1"/>
  </x:cols>
  <x:sheetData>
    <x:row r="1" ht="38" customHeight="1">
      <x:c r="A1" s="44" t="str">
        <x:v>Event_Date</x:v>
      </x:c>
      <x:c r="B1" s="44" t="str">
        <x:v>Month_Key</x:v>
      </x:c>
      <x:c r="C1" s="44" t="str">
        <x:v>Machine_ID</x:v>
      </x:c>
      <x:c r="D1" s="44" t="str">
        <x:v>Error_ID</x:v>
      </x:c>
      <x:c r="E1" s="44" t="str">
        <x:v>Stage</x:v>
      </x:c>
      <x:c r="F1" s="44" t="str">
        <x:v>Failure_Category</x:v>
      </x:c>
      <x:c r="G1" s="44" t="str">
        <x:v>Failure_Mode</x:v>
      </x:c>
      <x:c r="H1" s="44" t="str">
        <x:v>Reported_By</x:v>
      </x:c>
      <x:c r="I1" s="44" t="str">
        <x:v>Shift</x:v>
      </x:c>
      <x:c r="J1" s="44" t="str">
        <x:v>Decision</x:v>
      </x:c>
      <x:c r="K1" s="44" t="str">
        <x:v>Safety_Override</x:v>
      </x:c>
      <x:c r="L1" s="44" t="str">
        <x:v>Planned_Stop_Min</x:v>
      </x:c>
      <x:c r="M1" s="44" t="str">
        <x:v>Unplanned_Downtime_Min</x:v>
      </x:c>
      <x:c r="N1" s="44" t="str">
        <x:v>OptionA_Total_PKR</x:v>
      </x:c>
      <x:c r="O1" s="44" t="str">
        <x:v>OptionB_Total_PKR</x:v>
      </x:c>
      <x:c r="P1" s="44" t="str">
        <x:v>Net_Avoided_Loss_PKR</x:v>
      </x:c>
      <x:c r="Q1" s="44" t="str">
        <x:v>Production_Hours_Rescued</x:v>
      </x:c>
      <x:c r="R1" s="44" t="str">
        <x:v>Cumulative_Net_Avoided_Loss_PKR</x:v>
      </x:c>
      <x:c r="S1" s="44" t="str">
        <x:v>Cumulative_Hours_Rescued</x:v>
      </x:c>
      <x:c r="T1" s="44" t="str">
        <x:v>Notes</x:v>
      </x:c>
    </x:row>
    <x:row r="2">
      <x:c r="A2" s="47" t="n">
        <x:v>46208</x:v>
      </x:c>
      <x:c r="B2" s="16" t="str">
        <x:v>2026-07</x:v>
      </x:c>
      <x:c r="C2" s="16" t="str">
        <x:v>M-101</x:v>
      </x:c>
      <x:c r="D2" s="16" t="str">
        <x:v>M1-E02</x:v>
      </x:c>
      <x:c r="E2" s="16" t="n">
        <x:v>1</x:v>
      </x:c>
      <x:c r="F2" s="16" t="str">
        <x:v>Electrical</x:v>
      </x:c>
      <x:c r="G2" s="16" t="str">
        <x:v>Motor Terminal Overheating</x:v>
      </x:c>
      <x:c r="H2" s="16" t="str">
        <x:v>Tariq M.</x:v>
      </x:c>
      <x:c r="I2" s="16" t="str">
        <x:v>A</x:v>
      </x:c>
      <x:c r="J2" s="16" t="str">
        <x:v>Accept Option A</x:v>
      </x:c>
      <x:c r="K2" s="16" t="str">
        <x:v>No</x:v>
      </x:c>
      <x:c r="L2" s="16" t="n">
        <x:v>10</x:v>
      </x:c>
      <x:c r="M2" s="16" t="n">
        <x:v>120</x:v>
      </x:c>
      <x:c r="N2" s="28" t="n">
        <x:v>36500</x:v>
      </x:c>
      <x:c r="O2" s="28" t="n">
        <x:v>622000</x:v>
      </x:c>
      <x:c r="P2" s="28" t="n">
        <x:v>585500</x:v>
      </x:c>
      <x:c r="Q2" s="48" t="n">
        <x:v>1.8333333333333333</x:v>
      </x:c>
      <x:c r="R2" s="28" t="n">
        <x:v>585500</x:v>
      </x:c>
      <x:c r="S2" s="48" t="n">
        <x:v>1.8333333333333333</x:v>
      </x:c>
      <x:c r="T2" s="16" t="str">
        <x:v>Preventive intervention approved after Option A vs Option B cost comparison.</x:v>
      </x:c>
    </x:row>
    <x:row r="3">
      <x:c r="A3" s="47" t="n">
        <x:v>46215</x:v>
      </x:c>
      <x:c r="B3" s="16" t="str">
        <x:v>2026-07</x:v>
      </x:c>
      <x:c r="C3" s="16" t="str">
        <x:v>M-201</x:v>
      </x:c>
      <x:c r="D3" s="16" t="str">
        <x:v>M2-E01</x:v>
      </x:c>
      <x:c r="E3" s="16" t="n">
        <x:v>2</x:v>
      </x:c>
      <x:c r="F3" s="16" t="str">
        <x:v>Mechanical</x:v>
      </x:c>
      <x:c r="G3" s="16" t="str">
        <x:v>Ceramic Bearing Wear</x:v>
      </x:c>
      <x:c r="H3" s="16" t="str">
        <x:v>Salman A.</x:v>
      </x:c>
      <x:c r="I3" s="16" t="str">
        <x:v>B</x:v>
      </x:c>
      <x:c r="J3" s="16" t="str">
        <x:v>Accept Option A</x:v>
      </x:c>
      <x:c r="K3" s="16" t="str">
        <x:v>No</x:v>
      </x:c>
      <x:c r="L3" s="16" t="n">
        <x:v>20</x:v>
      </x:c>
      <x:c r="M3" s="16" t="n">
        <x:v>300</x:v>
      </x:c>
      <x:c r="N3" s="28" t="n">
        <x:v>79000</x:v>
      </x:c>
      <x:c r="O3" s="28" t="n">
        <x:v>1519000</x:v>
      </x:c>
      <x:c r="P3" s="28" t="n">
        <x:v>1440000</x:v>
      </x:c>
      <x:c r="Q3" s="48" t="n">
        <x:v>4.666666666666667</x:v>
      </x:c>
      <x:c r="R3" s="28" t="n">
        <x:v>2025500</x:v>
      </x:c>
      <x:c r="S3" s="48" t="n">
        <x:v>6.5</x:v>
      </x:c>
      <x:c r="T3" s="16" t="str">
        <x:v>Preventive intervention approved after Option A vs Option B cost comparison.</x:v>
      </x:c>
    </x:row>
    <x:row r="4">
      <x:c r="A4" s="47" t="n">
        <x:v>46221</x:v>
      </x:c>
      <x:c r="B4" s="16" t="str">
        <x:v>2026-07</x:v>
      </x:c>
      <x:c r="C4" s="16" t="str">
        <x:v>M-202</x:v>
      </x:c>
      <x:c r="D4" s="16" t="str">
        <x:v>M2-E02</x:v>
      </x:c>
      <x:c r="E4" s="16" t="n">
        <x:v>2</x:v>
      </x:c>
      <x:c r="F4" s="16" t="str">
        <x:v>Electrical</x:v>
      </x:c>
      <x:c r="G4" s="16" t="str">
        <x:v>Servo Encoder Jitter</x:v>
      </x:c>
      <x:c r="H4" s="16" t="str">
        <x:v>Imran P.</x:v>
      </x:c>
      <x:c r="I4" s="16" t="str">
        <x:v>A</x:v>
      </x:c>
      <x:c r="J4" s="16" t="str">
        <x:v>Accept Option A</x:v>
      </x:c>
      <x:c r="K4" s="16" t="str">
        <x:v>No</x:v>
      </x:c>
      <x:c r="L4" s="16" t="n">
        <x:v>15</x:v>
      </x:c>
      <x:c r="M4" s="16" t="n">
        <x:v>150</x:v>
      </x:c>
      <x:c r="N4" s="28" t="n">
        <x:v>47500</x:v>
      </x:c>
      <x:c r="O4" s="28" t="n">
        <x:v>777000</x:v>
      </x:c>
      <x:c r="P4" s="28" t="n">
        <x:v>729500</x:v>
      </x:c>
      <x:c r="Q4" s="48" t="n">
        <x:v>2.25</x:v>
      </x:c>
      <x:c r="R4" s="28" t="n">
        <x:v>2755000</x:v>
      </x:c>
      <x:c r="S4" s="48" t="n">
        <x:v>8.75</x:v>
      </x:c>
      <x:c r="T4" s="16" t="str">
        <x:v>Preventive intervention approved after Option A vs Option B cost comparison.</x:v>
      </x:c>
    </x:row>
    <x:row r="5">
      <x:c r="A5" s="47" t="n">
        <x:v>46229</x:v>
      </x:c>
      <x:c r="B5" s="16" t="str">
        <x:v>2026-07</x:v>
      </x:c>
      <x:c r="C5" s="16" t="str">
        <x:v>M-302</x:v>
      </x:c>
      <x:c r="D5" s="16" t="str">
        <x:v>M3-E01</x:v>
      </x:c>
      <x:c r="E5" s="16" t="n">
        <x:v>3</x:v>
      </x:c>
      <x:c r="F5" s="16" t="str">
        <x:v>Mechanical</x:v>
      </x:c>
      <x:c r="G5" s="16" t="str">
        <x:v>Conveyor Belt Skew</x:v>
      </x:c>
      <x:c r="H5" s="16" t="str">
        <x:v>Zahid H.</x:v>
      </x:c>
      <x:c r="I5" s="16" t="str">
        <x:v>C</x:v>
      </x:c>
      <x:c r="J5" s="16" t="str">
        <x:v>Accept Option A</x:v>
      </x:c>
      <x:c r="K5" s="16" t="str">
        <x:v>No</x:v>
      </x:c>
      <x:c r="L5" s="16" t="n">
        <x:v>15</x:v>
      </x:c>
      <x:c r="M5" s="16" t="n">
        <x:v>90</x:v>
      </x:c>
      <x:c r="N5" s="28" t="n">
        <x:v>18750</x:v>
      </x:c>
      <x:c r="O5" s="28" t="n">
        <x:v>207500</x:v>
      </x:c>
      <x:c r="P5" s="28" t="n">
        <x:v>188750</x:v>
      </x:c>
      <x:c r="Q5" s="48" t="n">
        <x:v>1.25</x:v>
      </x:c>
      <x:c r="R5" s="28" t="n">
        <x:v>2943750</x:v>
      </x:c>
      <x:c r="S5" s="48" t="n">
        <x:v>10</x:v>
      </x:c>
      <x:c r="T5" s="16" t="str">
        <x:v>Preventive intervention approved after Option A vs Option B cost comparison.</x:v>
      </x:c>
    </x:row>
    <x:row r="6">
      <x:c r="A6" s="47" t="n">
        <x:v>46233</x:v>
      </x:c>
      <x:c r="B6" s="16" t="str">
        <x:v>2026-07</x:v>
      </x:c>
      <x:c r="C6" s="16" t="str">
        <x:v>M-101</x:v>
      </x:c>
      <x:c r="D6" s="16" t="str">
        <x:v>M1-E04</x:v>
      </x:c>
      <x:c r="E6" s="16" t="n">
        <x:v>1</x:v>
      </x:c>
      <x:c r="F6" s="16" t="str">
        <x:v>Safety</x:v>
      </x:c>
      <x:c r="G6" s="16" t="str">
        <x:v>Light Curtain Alignment</x:v>
      </x:c>
      <x:c r="H6" s="16" t="str">
        <x:v>Kashif R.</x:v>
      </x:c>
      <x:c r="I6" s="16" t="str">
        <x:v>B</x:v>
      </x:c>
      <x:c r="J6" s="16" t="str">
        <x:v>Mandatory Stop</x:v>
      </x:c>
      <x:c r="K6" s="16" t="str">
        <x:v>Yes</x:v>
      </x:c>
      <x:c r="L6" s="16" t="n">
        <x:v>10</x:v>
      </x:c>
      <x:c r="M6" s="16"/>
      <x:c r="N6" s="28" t="n">
        <x:v>37000</x:v>
      </x:c>
      <x:c r="O6" s="28"/>
      <x:c r="P6" s="28"/>
      <x:c r="Q6" s="48" t="n">
        <x:v>0</x:v>
      </x:c>
      <x:c r="R6" s="28" t="n">
        <x:v>2943750</x:v>
      </x:c>
      <x:c r="S6" s="48" t="n">
        <x:v>10</x:v>
      </x:c>
      <x:c r="T6" s="16" t="str">
        <x:v>Safety-critical condition. Economic deferral prohibited; immediate intervention enforced.</x:v>
      </x:c>
    </x:row>
    <x:row r="7">
      <x:c r="A7" s="47" t="n">
        <x:v>46237</x:v>
      </x:c>
      <x:c r="B7" s="16" t="str">
        <x:v>2026-08</x:v>
      </x:c>
      <x:c r="C7" s="16" t="str">
        <x:v>M-101</x:v>
      </x:c>
      <x:c r="D7" s="16" t="str">
        <x:v>M1-E03</x:v>
      </x:c>
      <x:c r="E7" s="16" t="n">
        <x:v>1</x:v>
      </x:c>
      <x:c r="F7" s="16" t="str">
        <x:v>Mechanical</x:v>
      </x:c>
      <x:c r="G7" s="16" t="str">
        <x:v>Flywheel Bushing Wear</x:v>
      </x:c>
      <x:c r="H7" s="16" t="str">
        <x:v>Tariq M.</x:v>
      </x:c>
      <x:c r="I7" s="16" t="str">
        <x:v>A</x:v>
      </x:c>
      <x:c r="J7" s="16" t="str">
        <x:v>Accept Option A</x:v>
      </x:c>
      <x:c r="K7" s="16" t="str">
        <x:v>No</x:v>
      </x:c>
      <x:c r="L7" s="16" t="n">
        <x:v>20</x:v>
      </x:c>
      <x:c r="M7" s="16" t="n">
        <x:v>240</x:v>
      </x:c>
      <x:c r="N7" s="28" t="n">
        <x:v>76000</x:v>
      </x:c>
      <x:c r="O7" s="28" t="n">
        <x:v>1229000</x:v>
      </x:c>
      <x:c r="P7" s="28" t="n">
        <x:v>1153000</x:v>
      </x:c>
      <x:c r="Q7" s="48" t="n">
        <x:v>3.6666666666666665</x:v>
      </x:c>
      <x:c r="R7" s="28" t="n">
        <x:v>4096750</x:v>
      </x:c>
      <x:c r="S7" s="48" t="n">
        <x:v>13.666666666666666</x:v>
      </x:c>
      <x:c r="T7" s="16" t="str">
        <x:v>Preventive intervention approved after Option A vs Option B cost comparison.</x:v>
      </x:c>
    </x:row>
    <x:row r="8">
      <x:c r="A8" s="47" t="n">
        <x:v>46243</x:v>
      </x:c>
      <x:c r="B8" s="16" t="str">
        <x:v>2026-08</x:v>
      </x:c>
      <x:c r="C8" s="16" t="str">
        <x:v>M-101</x:v>
      </x:c>
      <x:c r="D8" s="16" t="str">
        <x:v>M1-E05</x:v>
      </x:c>
      <x:c r="E8" s="16" t="n">
        <x:v>1</x:v>
      </x:c>
      <x:c r="F8" s="16" t="str">
        <x:v>Mechanical</x:v>
      </x:c>
      <x:c r="G8" s="16" t="str">
        <x:v>Punch Die Micro-Cracking</x:v>
      </x:c>
      <x:c r="H8" s="16" t="str">
        <x:v>Kashif R.</x:v>
      </x:c>
      <x:c r="I8" s="16" t="str">
        <x:v>B</x:v>
      </x:c>
      <x:c r="J8" s="16" t="str">
        <x:v>Accept Option A</x:v>
      </x:c>
      <x:c r="K8" s="16" t="str">
        <x:v>No</x:v>
      </x:c>
      <x:c r="L8" s="16" t="n">
        <x:v>25</x:v>
      </x:c>
      <x:c r="M8" s="16" t="n">
        <x:v>210</x:v>
      </x:c>
      <x:c r="N8" s="28" t="n">
        <x:v>98000</x:v>
      </x:c>
      <x:c r="O8" s="28" t="n">
        <x:v>1356000</x:v>
      </x:c>
      <x:c r="P8" s="28" t="n">
        <x:v>1258000</x:v>
      </x:c>
      <x:c r="Q8" s="48" t="n">
        <x:v>3.0833333333333335</x:v>
      </x:c>
      <x:c r="R8" s="28" t="n">
        <x:v>5354750</x:v>
      </x:c>
      <x:c r="S8" s="48" t="n">
        <x:v>16.75</x:v>
      </x:c>
      <x:c r="T8" s="16" t="str">
        <x:v>Preventive intervention approved after Option A vs Option B cost comparison.</x:v>
      </x:c>
    </x:row>
    <x:row r="9">
      <x:c r="A9" s="47" t="n">
        <x:v>46249</x:v>
      </x:c>
      <x:c r="B9" s="16" t="str">
        <x:v>2026-08</x:v>
      </x:c>
      <x:c r="C9" s="16" t="str">
        <x:v>M-201</x:v>
      </x:c>
      <x:c r="D9" s="16" t="str">
        <x:v>M2-E02</x:v>
      </x:c>
      <x:c r="E9" s="16" t="n">
        <x:v>2</x:v>
      </x:c>
      <x:c r="F9" s="16" t="str">
        <x:v>Electrical</x:v>
      </x:c>
      <x:c r="G9" s="16" t="str">
        <x:v>Servo Encoder Jitter</x:v>
      </x:c>
      <x:c r="H9" s="16" t="str">
        <x:v>Salman A.</x:v>
      </x:c>
      <x:c r="I9" s="16" t="str">
        <x:v>C</x:v>
      </x:c>
      <x:c r="J9" s="16" t="str">
        <x:v>Accept Option A</x:v>
      </x:c>
      <x:c r="K9" s="16" t="str">
        <x:v>No</x:v>
      </x:c>
      <x:c r="L9" s="16" t="n">
        <x:v>15</x:v>
      </x:c>
      <x:c r="M9" s="16" t="n">
        <x:v>150</x:v>
      </x:c>
      <x:c r="N9" s="28" t="n">
        <x:v>47500</x:v>
      </x:c>
      <x:c r="O9" s="28" t="n">
        <x:v>777000</x:v>
      </x:c>
      <x:c r="P9" s="28" t="n">
        <x:v>729500</x:v>
      </x:c>
      <x:c r="Q9" s="48" t="n">
        <x:v>2.25</x:v>
      </x:c>
      <x:c r="R9" s="28" t="n">
        <x:v>6084250</x:v>
      </x:c>
      <x:c r="S9" s="48" t="n">
        <x:v>19</x:v>
      </x:c>
      <x:c r="T9" s="16" t="str">
        <x:v>Preventive intervention approved after Option A vs Option B cost comparison.</x:v>
      </x:c>
    </x:row>
    <x:row r="10">
      <x:c r="A10" s="47" t="n">
        <x:v>46256</x:v>
      </x:c>
      <x:c r="B10" s="16" t="str">
        <x:v>2026-08</x:v>
      </x:c>
      <x:c r="C10" s="16" t="str">
        <x:v>M-202</x:v>
      </x:c>
      <x:c r="D10" s="16" t="str">
        <x:v>M2-E03</x:v>
      </x:c>
      <x:c r="E10" s="16" t="n">
        <x:v>2</x:v>
      </x:c>
      <x:c r="F10" s="16" t="str">
        <x:v>Mechanical</x:v>
      </x:c>
      <x:c r="G10" s="16" t="str">
        <x:v>Pump Cavitation</x:v>
      </x:c>
      <x:c r="H10" s="16" t="str">
        <x:v>Imran P.</x:v>
      </x:c>
      <x:c r="I10" s="16" t="str">
        <x:v>A</x:v>
      </x:c>
      <x:c r="J10" s="16" t="str">
        <x:v>Accept Option A</x:v>
      </x:c>
      <x:c r="K10" s="16" t="str">
        <x:v>No</x:v>
      </x:c>
      <x:c r="L10" s="16" t="n">
        <x:v>10</x:v>
      </x:c>
      <x:c r="M10" s="16" t="n">
        <x:v>110</x:v>
      </x:c>
      <x:c r="N10" s="28" t="n">
        <x:v>28000</x:v>
      </x:c>
      <x:c r="O10" s="28" t="n">
        <x:v>441800</x:v>
      </x:c>
      <x:c r="P10" s="28" t="n">
        <x:v>413800</x:v>
      </x:c>
      <x:c r="Q10" s="48" t="n">
        <x:v>1.6666666666666667</x:v>
      </x:c>
      <x:c r="R10" s="28" t="n">
        <x:v>6498050</x:v>
      </x:c>
      <x:c r="S10" s="48" t="n">
        <x:v>20.666666666666668</x:v>
      </x:c>
      <x:c r="T10" s="16" t="str">
        <x:v>Preventive intervention approved after Option A vs Option B cost comparison.</x:v>
      </x:c>
    </x:row>
    <x:row r="11">
      <x:c r="A11" s="47" t="n">
        <x:v>46262</x:v>
      </x:c>
      <x:c r="B11" s="16" t="str">
        <x:v>2026-08</x:v>
      </x:c>
      <x:c r="C11" s="16" t="str">
        <x:v>M-202</x:v>
      </x:c>
      <x:c r="D11" s="16" t="str">
        <x:v>M2-E05</x:v>
      </x:c>
      <x:c r="E11" s="16" t="n">
        <x:v>2</x:v>
      </x:c>
      <x:c r="F11" s="16" t="str">
        <x:v>Safety</x:v>
      </x:c>
      <x:c r="G11" s="16" t="str">
        <x:v>Enclosure Interlock Fault</x:v>
      </x:c>
      <x:c r="H11" s="16" t="str">
        <x:v>Imran P.</x:v>
      </x:c>
      <x:c r="I11" s="16" t="str">
        <x:v>B</x:v>
      </x:c>
      <x:c r="J11" s="16" t="str">
        <x:v>Mandatory Stop</x:v>
      </x:c>
      <x:c r="K11" s="16" t="str">
        <x:v>Yes</x:v>
      </x:c>
      <x:c r="L11" s="16" t="n">
        <x:v>10</x:v>
      </x:c>
      <x:c r="M11" s="16"/>
      <x:c r="N11" s="28" t="n">
        <x:v>31500</x:v>
      </x:c>
      <x:c r="O11" s="28"/>
      <x:c r="P11" s="28"/>
      <x:c r="Q11" s="48" t="n">
        <x:v>0</x:v>
      </x:c>
      <x:c r="R11" s="28" t="n">
        <x:v>6498050</x:v>
      </x:c>
      <x:c r="S11" s="48" t="n">
        <x:v>20.666666666666668</x:v>
      </x:c>
      <x:c r="T11" s="16" t="str">
        <x:v>Safety-critical condition. Economic deferral prohibited; immediate intervention enforced.</x:v>
      </x:c>
    </x:row>
    <x:row r="12">
      <x:c r="A12" s="47" t="n">
        <x:v>46267</x:v>
      </x:c>
      <x:c r="B12" s="16" t="str">
        <x:v>2026-09</x:v>
      </x:c>
      <x:c r="C12" s="16" t="str">
        <x:v>M-101</x:v>
      </x:c>
      <x:c r="D12" s="16" t="str">
        <x:v>M1-E02</x:v>
      </x:c>
      <x:c r="E12" s="16" t="n">
        <x:v>1</x:v>
      </x:c>
      <x:c r="F12" s="16" t="str">
        <x:v>Electrical</x:v>
      </x:c>
      <x:c r="G12" s="16" t="str">
        <x:v>Motor Terminal Overheating</x:v>
      </x:c>
      <x:c r="H12" s="16" t="str">
        <x:v>Tariq M.</x:v>
      </x:c>
      <x:c r="I12" s="16" t="str">
        <x:v>A</x:v>
      </x:c>
      <x:c r="J12" s="16" t="str">
        <x:v>Accept Option A</x:v>
      </x:c>
      <x:c r="K12" s="16" t="str">
        <x:v>No</x:v>
      </x:c>
      <x:c r="L12" s="16" t="n">
        <x:v>10</x:v>
      </x:c>
      <x:c r="M12" s="16" t="n">
        <x:v>120</x:v>
      </x:c>
      <x:c r="N12" s="28" t="n">
        <x:v>36500</x:v>
      </x:c>
      <x:c r="O12" s="28" t="n">
        <x:v>622000</x:v>
      </x:c>
      <x:c r="P12" s="28" t="n">
        <x:v>585500</x:v>
      </x:c>
      <x:c r="Q12" s="48" t="n">
        <x:v>1.8333333333333333</x:v>
      </x:c>
      <x:c r="R12" s="28" t="n">
        <x:v>7083550</x:v>
      </x:c>
      <x:c r="S12" s="48" t="n">
        <x:v>22.5</x:v>
      </x:c>
      <x:c r="T12" s="16" t="str">
        <x:v>Preventive intervention approved after Option A vs Option B cost comparison.</x:v>
      </x:c>
    </x:row>
    <x:row r="13">
      <x:c r="A13" s="47" t="n">
        <x:v>46270</x:v>
      </x:c>
      <x:c r="B13" s="16" t="str">
        <x:v>2026-09</x:v>
      </x:c>
      <x:c r="C13" s="16" t="str">
        <x:v>M-101</x:v>
      </x:c>
      <x:c r="D13" s="16" t="str">
        <x:v>M1-E02</x:v>
      </x:c>
      <x:c r="E13" s="16" t="n">
        <x:v>1</x:v>
      </x:c>
      <x:c r="F13" s="16" t="str">
        <x:v>Electrical</x:v>
      </x:c>
      <x:c r="G13" s="16" t="str">
        <x:v>Motor Terminal Overheating</x:v>
      </x:c>
      <x:c r="H13" s="16" t="str">
        <x:v>Kashif R.</x:v>
      </x:c>
      <x:c r="I13" s="16" t="str">
        <x:v>B</x:v>
      </x:c>
      <x:c r="J13" s="16" t="str">
        <x:v>Accept Option A</x:v>
      </x:c>
      <x:c r="K13" s="16" t="str">
        <x:v>No</x:v>
      </x:c>
      <x:c r="L13" s="16" t="n">
        <x:v>10</x:v>
      </x:c>
      <x:c r="M13" s="16" t="n">
        <x:v>120</x:v>
      </x:c>
      <x:c r="N13" s="28" t="n">
        <x:v>36500</x:v>
      </x:c>
      <x:c r="O13" s="28" t="n">
        <x:v>622000</x:v>
      </x:c>
      <x:c r="P13" s="28" t="n">
        <x:v>585500</x:v>
      </x:c>
      <x:c r="Q13" s="48" t="n">
        <x:v>1.8333333333333333</x:v>
      </x:c>
      <x:c r="R13" s="28" t="n">
        <x:v>7669050</x:v>
      </x:c>
      <x:c r="S13" s="48" t="n">
        <x:v>24.333333333333332</x:v>
      </x:c>
      <x:c r="T13" s="16" t="str">
        <x:v>Preventive intervention approved after Option A vs Option B cost comparison.</x:v>
      </x:c>
    </x:row>
    <x:row r="14">
      <x:c r="A14" s="47" t="n">
        <x:v>46273</x:v>
      </x:c>
      <x:c r="B14" s="16" t="str">
        <x:v>2026-09</x:v>
      </x:c>
      <x:c r="C14" s="16" t="str">
        <x:v>M-201</x:v>
      </x:c>
      <x:c r="D14" s="16" t="str">
        <x:v>M2-E04</x:v>
      </x:c>
      <x:c r="E14" s="16" t="n">
        <x:v>2</x:v>
      </x:c>
      <x:c r="F14" s="16" t="str">
        <x:v>Electrical</x:v>
      </x:c>
      <x:c r="G14" s="16" t="str">
        <x:v>Solenoid Overheating</x:v>
      </x:c>
      <x:c r="H14" s="16" t="str">
        <x:v>Salman A.</x:v>
      </x:c>
      <x:c r="I14" s="16" t="str">
        <x:v>A</x:v>
      </x:c>
      <x:c r="J14" s="16" t="str">
        <x:v>Accept Option A</x:v>
      </x:c>
      <x:c r="K14" s="16" t="str">
        <x:v>No</x:v>
      </x:c>
      <x:c r="L14" s="16" t="n">
        <x:v>10</x:v>
      </x:c>
      <x:c r="M14" s="16" t="n">
        <x:v>140</x:v>
      </x:c>
      <x:c r="N14" s="28" t="n">
        <x:v>30000</x:v>
      </x:c>
      <x:c r="O14" s="28" t="n">
        <x:v>781200</x:v>
      </x:c>
      <x:c r="P14" s="28" t="n">
        <x:v>751200</x:v>
      </x:c>
      <x:c r="Q14" s="48" t="n">
        <x:v>2.1666666666666665</x:v>
      </x:c>
      <x:c r="R14" s="28" t="n">
        <x:v>8420250</x:v>
      </x:c>
      <x:c r="S14" s="48" t="n">
        <x:v>26.5</x:v>
      </x:c>
      <x:c r="T14" s="16" t="str">
        <x:v>Preventive intervention approved after Option A vs Option B cost comparison.</x:v>
      </x:c>
    </x:row>
    <x:row r="15">
      <x:c r="A15" s="47" t="n">
        <x:v>46275</x:v>
      </x:c>
      <x:c r="B15" s="16" t="str">
        <x:v>2026-09</x:v>
      </x:c>
      <x:c r="C15" s="16" t="str">
        <x:v>M-304</x:v>
      </x:c>
      <x:c r="D15" s="16" t="str">
        <x:v>M3-E05</x:v>
      </x:c>
      <x:c r="E15" s="16" t="n">
        <x:v>3</x:v>
      </x:c>
      <x:c r="F15" s="16" t="str">
        <x:v>Safety</x:v>
      </x:c>
      <x:c r="G15" s="16" t="str">
        <x:v>E-Stop Ground Fault</x:v>
      </x:c>
      <x:c r="H15" s="16" t="str">
        <x:v>Bilal N.</x:v>
      </x:c>
      <x:c r="I15" s="16" t="str">
        <x:v>C</x:v>
      </x:c>
      <x:c r="J15" s="16" t="str">
        <x:v>Mandatory Stop</x:v>
      </x:c>
      <x:c r="K15" s="16" t="str">
        <x:v>Yes</x:v>
      </x:c>
      <x:c r="L15" s="16" t="n">
        <x:v>10</x:v>
      </x:c>
      <x:c r="M15" s="16"/>
      <x:c r="N15" s="28" t="n">
        <x:v>16000</x:v>
      </x:c>
      <x:c r="O15" s="28"/>
      <x:c r="P15" s="28"/>
      <x:c r="Q15" s="48" t="n">
        <x:v>0</x:v>
      </x:c>
      <x:c r="R15" s="28" t="n">
        <x:v>8420250</x:v>
      </x:c>
      <x:c r="S15" s="48" t="n">
        <x:v>26.5</x:v>
      </x:c>
      <x:c r="T15" s="16" t="str">
        <x:v>Safety-critical condition. Economic deferral prohibited; immediate intervention enforced.</x:v>
      </x:c>
    </x:row>
  </x:sheetData>
  <x:conditionalFormatting sqref="K2:K15">
    <x:cfRule type="expression" dxfId="3" priority="1">
      <x:formula>K2="Yes"</x:formula>
    </x:cfRule>
  </x:conditionalFormatting>
  <x:conditionalFormatting sqref="P2:P15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{378BB3CB-E714-A014-E4E9-821C7DCED08B}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8010226e5ba4eb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78BB3CB-E714-A014-E4E9-821C7DCED08B}">
            <x14:dataBar gradient="1">
              <x14:cfvo type="min"/>
              <x14:cfvo type="max"/>
              <x14:fillColor rgb="FF70AD47"/>
            </x14:dataBar>
          </x14:cfRule>
          <xm:sqref>P2:P15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1" hidden="0" customWidth="1"/>
    <x:col min="4" max="4" width="24" hidden="0" customWidth="1"/>
    <x:col min="5" max="5" width="19" hidden="0" customWidth="1"/>
    <x:col min="6" max="6" width="18" hidden="0" customWidth="1"/>
    <x:col min="7" max="7" width="25" hidden="0" customWidth="1"/>
    <x:col min="8" max="8" width="31" hidden="0" customWidth="1"/>
  </x:cols>
  <x:sheetData>
    <x:row r="1" ht="30" customHeight="1">
      <x:c r="A1" s="51" t="str">
        <x:v>OPENING DASHBOARD DATA — July to September 2026</x:v>
      </x:c>
      <x:c r="B1" s="51"/>
      <x:c r="C1" s="51"/>
      <x:c r="D1" s="51"/>
      <x:c r="E1" s="51"/>
      <x:c r="F1" s="51"/>
      <x:c r="G1" s="51"/>
      <x:c r="H1" s="51"/>
    </x:row>
    <x:row r="3">
      <x:c r="A3" s="44" t="str">
        <x:v>Month</x:v>
      </x:c>
      <x:c r="B3" s="44" t="str">
        <x:v>Planned_Intervention_Cost_PKR</x:v>
      </x:c>
      <x:c r="C3" s="44" t="str">
        <x:v>Avoided_Breakdown_Exposure_PKR</x:v>
      </x:c>
      <x:c r="D3" s="44" t="str">
        <x:v>Net_Avoided_Loss_PKR</x:v>
      </x:c>
      <x:c r="E3" s="44" t="str">
        <x:v>Preventive_Stops</x:v>
      </x:c>
      <x:c r="F3" s="44" t="str">
        <x:v>Safety_Overrides</x:v>
      </x:c>
      <x:c r="G3" s="44" t="str">
        <x:v>Production_Hours_Rescued</x:v>
      </x:c>
      <x:c r="H3" s="44" t="str">
        <x:v>Cumulative_Net_Avoided_Loss_PKR</x:v>
      </x:c>
    </x:row>
    <x:row r="4">
      <x:c r="A4" s="16" t="str">
        <x:v>2026-07</x:v>
      </x:c>
      <x:c r="B4" s="28" t="n">
        <x:f>SUMIFS(Historical_Events!$N$2:$N$15,Historical_Events!$B$2:$B$15,$A4,Historical_Events!$K$2:$K$15,"No")</x:f>
        <x:v>181750</x:v>
      </x:c>
      <x:c r="C4" s="28" t="n">
        <x:f>SUMIFS(Historical_Events!$O$2:$O$15,Historical_Events!$B$2:$B$15,$A4,Historical_Events!$K$2:$K$15,"No")</x:f>
        <x:v>3125500</x:v>
      </x:c>
      <x:c r="D4" s="28" t="n">
        <x:f>SUMIFS(Historical_Events!$P$2:$P$15,Historical_Events!$B$2:$B$15,$A4)</x:f>
        <x:v>2943750</x:v>
      </x:c>
      <x:c r="E4" s="16" t="n">
        <x:f>COUNTIFS(Historical_Events!$B$2:$B$15,$A4,Historical_Events!$J$2:$J$15,"Accept Option A")</x:f>
        <x:v>4</x:v>
      </x:c>
      <x:c r="F4" s="16" t="n">
        <x:f>COUNTIFS(Historical_Events!$B$2:$B$15,$A4,Historical_Events!$J$2:$J$15,"Mandatory Stop")</x:f>
        <x:v>1</x:v>
      </x:c>
      <x:c r="G4" s="48" t="n">
        <x:f>SUMIFS(Historical_Events!$Q$2:$Q$15,Historical_Events!$B$2:$B$15,$A4)</x:f>
        <x:v>10</x:v>
      </x:c>
      <x:c r="H4" s="28" t="n">
        <x:f>D4</x:f>
        <x:v>2943750</x:v>
      </x:c>
    </x:row>
    <x:row r="5">
      <x:c r="A5" s="16" t="str">
        <x:v>2026-08</x:v>
      </x:c>
      <x:c r="B5" s="28" t="n">
        <x:f>SUMIFS(Historical_Events!$N$2:$N$15,Historical_Events!$B$2:$B$15,$A5,Historical_Events!$K$2:$K$15,"No")</x:f>
        <x:v>249500</x:v>
      </x:c>
      <x:c r="C5" s="28" t="n">
        <x:f>SUMIFS(Historical_Events!$O$2:$O$15,Historical_Events!$B$2:$B$15,$A5,Historical_Events!$K$2:$K$15,"No")</x:f>
        <x:v>3803800</x:v>
      </x:c>
      <x:c r="D5" s="28" t="n">
        <x:f>SUMIFS(Historical_Events!$P$2:$P$15,Historical_Events!$B$2:$B$15,$A5)</x:f>
        <x:v>3554300</x:v>
      </x:c>
      <x:c r="E5" s="16" t="n">
        <x:f>COUNTIFS(Historical_Events!$B$2:$B$15,$A5,Historical_Events!$J$2:$J$15,"Accept Option A")</x:f>
        <x:v>4</x:v>
      </x:c>
      <x:c r="F5" s="16" t="n">
        <x:f>COUNTIFS(Historical_Events!$B$2:$B$15,$A5,Historical_Events!$J$2:$J$15,"Mandatory Stop")</x:f>
        <x:v>1</x:v>
      </x:c>
      <x:c r="G5" s="48" t="n">
        <x:f>SUMIFS(Historical_Events!$Q$2:$Q$15,Historical_Events!$B$2:$B$15,$A5)</x:f>
        <x:v>10.666666666666666</x:v>
      </x:c>
      <x:c r="H5" s="28" t="n">
        <x:f>H4+D5</x:f>
        <x:v>6498050</x:v>
      </x:c>
    </x:row>
    <x:row r="6">
      <x:c r="A6" s="16" t="str">
        <x:v>2026-09</x:v>
      </x:c>
      <x:c r="B6" s="28" t="n">
        <x:f>SUMIFS(Historical_Events!$N$2:$N$15,Historical_Events!$B$2:$B$15,$A6,Historical_Events!$K$2:$K$15,"No")</x:f>
        <x:v>103000</x:v>
      </x:c>
      <x:c r="C6" s="28" t="n">
        <x:f>SUMIFS(Historical_Events!$O$2:$O$15,Historical_Events!$B$2:$B$15,$A6,Historical_Events!$K$2:$K$15,"No")</x:f>
        <x:v>2025200</x:v>
      </x:c>
      <x:c r="D6" s="28" t="n">
        <x:f>SUMIFS(Historical_Events!$P$2:$P$15,Historical_Events!$B$2:$B$15,$A6)</x:f>
        <x:v>1922200</x:v>
      </x:c>
      <x:c r="E6" s="16" t="n">
        <x:f>COUNTIFS(Historical_Events!$B$2:$B$15,$A6,Historical_Events!$J$2:$J$15,"Accept Option A")</x:f>
        <x:v>3</x:v>
      </x:c>
      <x:c r="F6" s="16" t="n">
        <x:f>COUNTIFS(Historical_Events!$B$2:$B$15,$A6,Historical_Events!$J$2:$J$15,"Mandatory Stop")</x:f>
        <x:v>1</x:v>
      </x:c>
      <x:c r="G6" s="48" t="n">
        <x:f>SUMIFS(Historical_Events!$Q$2:$Q$15,Historical_Events!$B$2:$B$15,$A6)</x:f>
        <x:v>5.833333333333333</x:v>
      </x:c>
      <x:c r="H6" s="28" t="n">
        <x:f>H5+D6</x:f>
        <x:v>8420250</x:v>
      </x:c>
    </x:row>
    <x:row r="9">
      <x:c r="A9" s="44" t="str">
        <x:v>Dashboard KPI</x:v>
      </x:c>
      <x:c r="B9" s="44" t="str">
        <x:v>Value</x:v>
      </x:c>
    </x:row>
    <x:row r="10">
      <x:c r="A10" s="54" t="str">
        <x:v>Net Capital Losses Avoided</x:v>
      </x:c>
      <x:c r="B10" s="36" t="n">
        <x:f>SUM(Historical_Events!P2:P15)</x:f>
        <x:v>8420250</x:v>
      </x:c>
    </x:row>
    <x:row r="11">
      <x:c r="A11" s="54" t="str">
        <x:v>Production Hours Rescued</x:v>
      </x:c>
      <x:c r="B11" s="46" t="n">
        <x:f>SUM(Historical_Events!Q2:Q15)</x:f>
        <x:v>26.5</x:v>
      </x:c>
    </x:row>
    <x:row r="12">
      <x:c r="A12" s="54" t="str">
        <x:v>Preventive Stops Approved</x:v>
      </x:c>
      <x:c r="B12" t="n">
        <x:f>COUNTIF(Historical_Events!J2:J15,"Accept Option A")</x:f>
        <x:v>11</x:v>
      </x:c>
    </x:row>
    <x:row r="13">
      <x:c r="A13" s="54" t="str">
        <x:v>Mandatory Safety Overrides</x:v>
      </x:c>
      <x:c r="B13" t="n">
        <x:f>COUNTIF(Historical_Events!J2:J15,"Mandatory Stop")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8bfc02dae734ae7"/>
</x:worksheet>
</file>